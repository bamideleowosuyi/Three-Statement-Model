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GRESSIVE\Desktop\FOLDER FILE\BAMIDELE\PROJECT 1A DEVON ENERGY\"/>
    </mc:Choice>
  </mc:AlternateContent>
  <xr:revisionPtr revIDLastSave="0" documentId="13_ncr:1_{E6491313-56E2-41D9-A162-4C8B82C4F7E2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OVER" sheetId="1" r:id="rId1"/>
    <sheet name="DASHBOARD" sheetId="2" r:id="rId2"/>
    <sheet name="IS" sheetId="3" r:id="rId3"/>
    <sheet name="BS" sheetId="4" r:id="rId4"/>
    <sheet name="CFS" sheetId="5" r:id="rId5"/>
    <sheet name="RATIOS" sheetId="6" r:id="rId6"/>
    <sheet name="COMMON_SIZE" sheetId="7" r:id="rId7"/>
    <sheet name="PEER_COMP" sheetId="8" r:id="rId8"/>
    <sheet name="ASSUMPTIONS" sheetId="9" r:id="rId9"/>
    <sheet name="FORMULA_REF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7" l="1"/>
  <c r="G19" i="7"/>
  <c r="G11" i="7"/>
  <c r="G10" i="7"/>
  <c r="G9" i="7"/>
  <c r="G18" i="7"/>
  <c r="G17" i="7"/>
  <c r="G8" i="7"/>
  <c r="G22" i="7"/>
  <c r="G21" i="7"/>
  <c r="G20" i="7"/>
  <c r="G14" i="7"/>
  <c r="G13" i="7"/>
  <c r="G12" i="7"/>
  <c r="G5" i="7"/>
  <c r="E11" i="3"/>
  <c r="F19" i="7"/>
  <c r="E19" i="7"/>
  <c r="G7" i="7"/>
  <c r="F7" i="7"/>
  <c r="E7" i="7"/>
  <c r="D27" i="6"/>
  <c r="C27" i="6"/>
  <c r="B27" i="6"/>
  <c r="D26" i="6"/>
  <c r="C26" i="6"/>
  <c r="B26" i="6"/>
  <c r="D23" i="6"/>
  <c r="C23" i="6"/>
  <c r="B23" i="6"/>
  <c r="D22" i="6"/>
  <c r="C22" i="6"/>
  <c r="B22" i="6"/>
  <c r="D8" i="6"/>
  <c r="C8" i="6"/>
  <c r="D7" i="6"/>
  <c r="C7" i="6"/>
  <c r="D6" i="6"/>
  <c r="C6" i="6"/>
  <c r="D5" i="6"/>
  <c r="C5" i="6"/>
  <c r="F57" i="5"/>
  <c r="E57" i="5"/>
  <c r="D57" i="5"/>
  <c r="C57" i="5"/>
  <c r="B57" i="5"/>
  <c r="D56" i="5"/>
  <c r="F56" i="5" s="1"/>
  <c r="C56" i="5"/>
  <c r="E56" i="5" s="1"/>
  <c r="B56" i="5"/>
  <c r="F49" i="5"/>
  <c r="E49" i="5"/>
  <c r="F47" i="5"/>
  <c r="E47" i="5"/>
  <c r="F44" i="5"/>
  <c r="E44" i="5"/>
  <c r="D44" i="5"/>
  <c r="C44" i="5"/>
  <c r="B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D31" i="5"/>
  <c r="F31" i="5" s="1"/>
  <c r="C31" i="5"/>
  <c r="E31" i="5" s="1"/>
  <c r="B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C21" i="5"/>
  <c r="B21" i="5"/>
  <c r="B55" i="5" s="1"/>
  <c r="D20" i="5"/>
  <c r="D21" i="5" s="1"/>
  <c r="C20" i="5"/>
  <c r="E20" i="5" s="1"/>
  <c r="B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5" i="5"/>
  <c r="E5" i="5"/>
  <c r="C53" i="4"/>
  <c r="E52" i="4"/>
  <c r="D52" i="4"/>
  <c r="D24" i="6" s="1"/>
  <c r="C52" i="4"/>
  <c r="C24" i="6" s="1"/>
  <c r="F51" i="4"/>
  <c r="E51" i="4"/>
  <c r="E50" i="4"/>
  <c r="B50" i="4"/>
  <c r="B52" i="4" s="1"/>
  <c r="F49" i="4"/>
  <c r="E49" i="4"/>
  <c r="F48" i="4"/>
  <c r="E48" i="4"/>
  <c r="F47" i="4"/>
  <c r="E47" i="4"/>
  <c r="F46" i="4"/>
  <c r="E46" i="4"/>
  <c r="F45" i="4"/>
  <c r="E45" i="4"/>
  <c r="D42" i="4"/>
  <c r="C42" i="4"/>
  <c r="C25" i="6" s="1"/>
  <c r="F41" i="4"/>
  <c r="D41" i="4"/>
  <c r="C41" i="4"/>
  <c r="E41" i="4" s="1"/>
  <c r="B41" i="4"/>
  <c r="F40" i="4"/>
  <c r="E40" i="4"/>
  <c r="F39" i="4"/>
  <c r="E39" i="4"/>
  <c r="F38" i="4"/>
  <c r="E38" i="4"/>
  <c r="F37" i="4"/>
  <c r="E37" i="4"/>
  <c r="F36" i="4"/>
  <c r="E36" i="4"/>
  <c r="F35" i="4"/>
  <c r="E35" i="4"/>
  <c r="E33" i="4"/>
  <c r="B33" i="4"/>
  <c r="B7" i="6" s="1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D22" i="4"/>
  <c r="D18" i="7" s="1"/>
  <c r="C22" i="4"/>
  <c r="C20" i="7" s="1"/>
  <c r="B22" i="4"/>
  <c r="B17" i="7" s="1"/>
  <c r="E21" i="4"/>
  <c r="D21" i="4"/>
  <c r="F21" i="4" s="1"/>
  <c r="C21" i="4"/>
  <c r="B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E12" i="4"/>
  <c r="B12" i="4"/>
  <c r="B8" i="6" s="1"/>
  <c r="F11" i="4"/>
  <c r="E11" i="4"/>
  <c r="F10" i="4"/>
  <c r="E10" i="4"/>
  <c r="F9" i="4"/>
  <c r="E9" i="4"/>
  <c r="F8" i="4"/>
  <c r="E8" i="4"/>
  <c r="F7" i="4"/>
  <c r="E7" i="4"/>
  <c r="G45" i="3"/>
  <c r="F45" i="3"/>
  <c r="E45" i="3"/>
  <c r="G44" i="3"/>
  <c r="F44" i="3"/>
  <c r="E44" i="3"/>
  <c r="G40" i="3"/>
  <c r="F40" i="3"/>
  <c r="E40" i="3"/>
  <c r="G36" i="3"/>
  <c r="F36" i="3"/>
  <c r="E36" i="3"/>
  <c r="G34" i="3"/>
  <c r="F34" i="3"/>
  <c r="E34" i="3"/>
  <c r="C30" i="3"/>
  <c r="E30" i="3" s="1"/>
  <c r="B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E17" i="3"/>
  <c r="D17" i="3"/>
  <c r="D8" i="7" s="1"/>
  <c r="C17" i="3"/>
  <c r="C32" i="6" s="1"/>
  <c r="B17" i="3"/>
  <c r="B32" i="6" s="1"/>
  <c r="G16" i="3"/>
  <c r="F16" i="3"/>
  <c r="E16" i="3"/>
  <c r="G15" i="3"/>
  <c r="F15" i="3"/>
  <c r="E15" i="3"/>
  <c r="G14" i="3"/>
  <c r="F14" i="3"/>
  <c r="E14" i="3"/>
  <c r="D11" i="3"/>
  <c r="D38" i="6" s="1"/>
  <c r="C11" i="3"/>
  <c r="C38" i="6" s="1"/>
  <c r="G10" i="3"/>
  <c r="F10" i="3"/>
  <c r="E10" i="3"/>
  <c r="G9" i="3"/>
  <c r="F9" i="3"/>
  <c r="E9" i="3"/>
  <c r="G8" i="3"/>
  <c r="D8" i="3"/>
  <c r="D11" i="6" s="1"/>
  <c r="C8" i="3"/>
  <c r="C5" i="7" s="1"/>
  <c r="B8" i="3"/>
  <c r="G7" i="3"/>
  <c r="F7" i="3"/>
  <c r="E7" i="3"/>
  <c r="G6" i="3"/>
  <c r="F6" i="3"/>
  <c r="E6" i="3"/>
  <c r="G5" i="3"/>
  <c r="F5" i="3"/>
  <c r="E5" i="3"/>
  <c r="F42" i="4" l="1"/>
  <c r="D9" i="6"/>
  <c r="D48" i="5"/>
  <c r="D55" i="5"/>
  <c r="F21" i="5"/>
  <c r="B36" i="6"/>
  <c r="B35" i="6"/>
  <c r="B24" i="6"/>
  <c r="B21" i="6"/>
  <c r="C33" i="3"/>
  <c r="F17" i="3"/>
  <c r="E8" i="3"/>
  <c r="F12" i="4"/>
  <c r="F22" i="4"/>
  <c r="E21" i="5"/>
  <c r="B48" i="5"/>
  <c r="B50" i="5" s="1"/>
  <c r="D52" i="5" s="1"/>
  <c r="C55" i="5"/>
  <c r="B12" i="6"/>
  <c r="B30" i="6"/>
  <c r="D32" i="6"/>
  <c r="D5" i="7"/>
  <c r="C11" i="7"/>
  <c r="C17" i="7"/>
  <c r="E17" i="7" s="1"/>
  <c r="D20" i="7"/>
  <c r="F11" i="3"/>
  <c r="F8" i="3"/>
  <c r="B11" i="3"/>
  <c r="B5" i="7" s="1"/>
  <c r="F33" i="4"/>
  <c r="C48" i="5"/>
  <c r="B6" i="6"/>
  <c r="C12" i="6"/>
  <c r="C21" i="6"/>
  <c r="C30" i="6"/>
  <c r="D11" i="7"/>
  <c r="D17" i="7"/>
  <c r="E55" i="4"/>
  <c r="B9" i="6"/>
  <c r="D12" i="6"/>
  <c r="C15" i="6"/>
  <c r="D21" i="6"/>
  <c r="D30" i="6"/>
  <c r="C33" i="6"/>
  <c r="C10" i="7"/>
  <c r="C14" i="7"/>
  <c r="B22" i="7"/>
  <c r="B42" i="4"/>
  <c r="F52" i="4"/>
  <c r="F55" i="4"/>
  <c r="C9" i="6"/>
  <c r="D15" i="6"/>
  <c r="B31" i="6"/>
  <c r="D33" i="6"/>
  <c r="D10" i="7"/>
  <c r="D14" i="7"/>
  <c r="C22" i="7"/>
  <c r="E22" i="7" s="1"/>
  <c r="F50" i="4"/>
  <c r="F20" i="5"/>
  <c r="C31" i="6"/>
  <c r="C9" i="7"/>
  <c r="B21" i="7"/>
  <c r="D22" i="7"/>
  <c r="B11" i="6"/>
  <c r="D31" i="6"/>
  <c r="C6" i="7"/>
  <c r="B8" i="7"/>
  <c r="D9" i="7"/>
  <c r="B18" i="7"/>
  <c r="C21" i="7"/>
  <c r="E21" i="7" s="1"/>
  <c r="D33" i="3"/>
  <c r="G17" i="3"/>
  <c r="G11" i="3"/>
  <c r="D30" i="3"/>
  <c r="E42" i="4"/>
  <c r="D53" i="4"/>
  <c r="B5" i="6"/>
  <c r="C11" i="6"/>
  <c r="D25" i="6"/>
  <c r="C29" i="6"/>
  <c r="D6" i="7"/>
  <c r="C8" i="7"/>
  <c r="E8" i="7" s="1"/>
  <c r="C18" i="7"/>
  <c r="F18" i="7" s="1"/>
  <c r="B20" i="7"/>
  <c r="E20" i="7" s="1"/>
  <c r="D21" i="7"/>
  <c r="E22" i="4"/>
  <c r="D29" i="6"/>
  <c r="F14" i="7" l="1"/>
  <c r="B25" i="6"/>
  <c r="B53" i="4"/>
  <c r="D55" i="4" s="1"/>
  <c r="C35" i="6"/>
  <c r="E55" i="5"/>
  <c r="C36" i="6"/>
  <c r="C12" i="7"/>
  <c r="C19" i="6"/>
  <c r="C13" i="6"/>
  <c r="C18" i="6"/>
  <c r="C35" i="3"/>
  <c r="G6" i="7"/>
  <c r="F6" i="7"/>
  <c r="F22" i="7"/>
  <c r="F20" i="7"/>
  <c r="F21" i="7"/>
  <c r="E14" i="7"/>
  <c r="E48" i="5"/>
  <c r="C50" i="5"/>
  <c r="D35" i="6"/>
  <c r="F55" i="5"/>
  <c r="D36" i="6"/>
  <c r="D12" i="7"/>
  <c r="D19" i="6"/>
  <c r="F33" i="3"/>
  <c r="D35" i="3"/>
  <c r="D13" i="6"/>
  <c r="D18" i="6"/>
  <c r="E10" i="7"/>
  <c r="E18" i="7"/>
  <c r="F9" i="7"/>
  <c r="F17" i="7"/>
  <c r="F5" i="7"/>
  <c r="F48" i="5"/>
  <c r="D50" i="5"/>
  <c r="F8" i="7"/>
  <c r="F10" i="7"/>
  <c r="E53" i="4"/>
  <c r="F53" i="4"/>
  <c r="E9" i="7"/>
  <c r="G30" i="3"/>
  <c r="F30" i="3"/>
  <c r="F11" i="7"/>
  <c r="B11" i="7"/>
  <c r="B38" i="6"/>
  <c r="B29" i="6"/>
  <c r="B6" i="7"/>
  <c r="E6" i="7" s="1"/>
  <c r="B9" i="7"/>
  <c r="B14" i="7"/>
  <c r="B10" i="7"/>
  <c r="B33" i="6"/>
  <c r="B15" i="6"/>
  <c r="B33" i="3"/>
  <c r="C14" i="6" l="1"/>
  <c r="C41" i="3"/>
  <c r="C37" i="3"/>
  <c r="C16" i="6"/>
  <c r="C13" i="7"/>
  <c r="C40" i="6"/>
  <c r="C50" i="3"/>
  <c r="C39" i="6"/>
  <c r="C37" i="6"/>
  <c r="B35" i="3"/>
  <c r="B12" i="7"/>
  <c r="E12" i="7" s="1"/>
  <c r="B19" i="6"/>
  <c r="B13" i="6"/>
  <c r="B18" i="6"/>
  <c r="F52" i="5"/>
  <c r="F50" i="5"/>
  <c r="D41" i="3"/>
  <c r="F35" i="3"/>
  <c r="D16" i="6"/>
  <c r="D37" i="3"/>
  <c r="D13" i="7"/>
  <c r="D40" i="6"/>
  <c r="D50" i="3"/>
  <c r="D39" i="6"/>
  <c r="D14" i="6"/>
  <c r="G35" i="3"/>
  <c r="D37" i="6"/>
  <c r="E33" i="3"/>
  <c r="E11" i="7"/>
  <c r="E52" i="5"/>
  <c r="E50" i="5"/>
  <c r="F12" i="7"/>
  <c r="G33" i="3"/>
  <c r="D17" i="6" l="1"/>
  <c r="F37" i="3"/>
  <c r="E13" i="7"/>
  <c r="B14" i="6"/>
  <c r="B41" i="3"/>
  <c r="G41" i="3" s="1"/>
  <c r="B16" i="6"/>
  <c r="B13" i="7"/>
  <c r="B40" i="6"/>
  <c r="B50" i="3"/>
  <c r="B37" i="3"/>
  <c r="B17" i="6" s="1"/>
  <c r="B39" i="6"/>
  <c r="B37" i="6"/>
  <c r="E37" i="3"/>
  <c r="C17" i="6"/>
  <c r="F13" i="7"/>
  <c r="F41" i="3"/>
  <c r="E35" i="3"/>
  <c r="E41" i="3"/>
  <c r="G37" i="3" l="1"/>
</calcChain>
</file>

<file path=xl/sharedStrings.xml><?xml version="1.0" encoding="utf-8"?>
<sst xmlns="http://schemas.openxmlformats.org/spreadsheetml/2006/main" count="962" uniqueCount="875">
  <si>
    <t>NYSE: DVN  |  Oil, Gas &amp; NGL Exploration &amp; Production  |  Delaware incorporated  |  FY2023 – FY2025</t>
  </si>
  <si>
    <t>Company Full Name</t>
  </si>
  <si>
    <t>Devon Energy Corporation</t>
  </si>
  <si>
    <t>Ticker / Exchange</t>
  </si>
  <si>
    <t>DVN | New York Stock Exchange (NYSE)</t>
  </si>
  <si>
    <t>Sector / Industry</t>
  </si>
  <si>
    <t>Energy | Oil &amp; Gas Exploration &amp; Production</t>
  </si>
  <si>
    <t>Headquarters</t>
  </si>
  <si>
    <t>333 West Sheridan Avenue, Oklahoma City, OK 73102</t>
  </si>
  <si>
    <t>Incorporation State</t>
  </si>
  <si>
    <t>Delaware, USA</t>
  </si>
  <si>
    <t>Fiscal Year End</t>
  </si>
  <si>
    <t>December 31 (Calendar Year)</t>
  </si>
  <si>
    <t>Analysis Period</t>
  </si>
  <si>
    <t>FY2023 – FY2024 – FY2025 (3 Years Historical)</t>
  </si>
  <si>
    <t>Currency &amp; Units</t>
  </si>
  <si>
    <t>Accounting Standard</t>
  </si>
  <si>
    <t>US GAAP (Generally Accepted Accounting Principles)</t>
  </si>
  <si>
    <t>Revenue Scale (FY25)</t>
  </si>
  <si>
    <t>$17,188 Million</t>
  </si>
  <si>
    <t>Net Assets (FY25)</t>
  </si>
  <si>
    <t>$15,528 Million</t>
  </si>
  <si>
    <t>Shares Outstanding</t>
  </si>
  <si>
    <t>~620 Million (as at Feb 4, 2026)</t>
  </si>
  <si>
    <t>External Auditor</t>
  </si>
  <si>
    <t>KPMG LLP | Oklahoma City, OK | Audit Firm ID: 185</t>
  </si>
  <si>
    <t>Data Source</t>
  </si>
  <si>
    <t>SEC Form 10-K filed for fiscal year ended Dec 31, 2025</t>
  </si>
  <si>
    <t>SEC EDGAR URL</t>
  </si>
  <si>
    <t>sec.gov/cgi-bin/browse-edgar?action=getcompany&amp;CIK=0001090012</t>
  </si>
  <si>
    <t>WORKBOOK NAVIGATION GUIDE</t>
  </si>
  <si>
    <t>DASHBOARD</t>
  </si>
  <si>
    <t>Executive KPI Summary | Charts &amp; Visual Analytics | Investment Decision</t>
  </si>
  <si>
    <t>IS</t>
  </si>
  <si>
    <t>Consolidated Statements of Comprehensive Earnings FY2023–FY2025</t>
  </si>
  <si>
    <t>BS</t>
  </si>
  <si>
    <t>CFS</t>
  </si>
  <si>
    <t>RATIOS</t>
  </si>
  <si>
    <t>25+ Financial Ratios | Liquidity | Profitability | Leverage | Efficiency | Cash Flow</t>
  </si>
  <si>
    <t>COMMON_SIZE</t>
  </si>
  <si>
    <t>PEER_COMP</t>
  </si>
  <si>
    <t>Peer Benchmarking vs Pioneer Natural Resources, EOG Resources &amp; ConocoPhillips</t>
  </si>
  <si>
    <t>ASSUMPTIONS</t>
  </si>
  <si>
    <t>All Model Drivers | Growth Rates | Benchmarks | Scenario Controls</t>
  </si>
  <si>
    <t>FORMULA_REF</t>
  </si>
  <si>
    <t>Complete Mathematical Formula Reference with Worked Examples</t>
  </si>
  <si>
    <t>BLUE TEXT</t>
  </si>
  <si>
    <t>BLACK TEXT</t>
  </si>
  <si>
    <t>GREEN TEXT</t>
  </si>
  <si>
    <t>Cross-sheet links pulling data from another tab</t>
  </si>
  <si>
    <t>RED TEXT</t>
  </si>
  <si>
    <t>GOLD BG</t>
  </si>
  <si>
    <t>Key assumption cells requiring attention</t>
  </si>
  <si>
    <t>DEVON ENERGY CORPORATION  |  EXECUTIVE FINANCIAL DASHBOARD  |  FY2023–FY2025</t>
  </si>
  <si>
    <t>NYSE: DVN  |  Oil, Gas &amp; NGL E&amp;P  |  US GAAP  |  Amounts $Millions  |  Data: SEC 10-K (Feb 2026)</t>
  </si>
  <si>
    <t>REVENUE
FY2025</t>
  </si>
  <si>
    <t>NET EARNINGS
FY2025</t>
  </si>
  <si>
    <t>EBITDAX
FY2025</t>
  </si>
  <si>
    <t>FREE CASH FLOW
FY2025</t>
  </si>
  <si>
    <t>NET DEBT
FY2025</t>
  </si>
  <si>
    <t>DILUTED EPS
FY2025</t>
  </si>
  <si>
    <t>$17.2B</t>
  </si>
  <si>
    <t>$2.68B</t>
  </si>
  <si>
    <t>$7.41B</t>
  </si>
  <si>
    <t>$3.12B</t>
  </si>
  <si>
    <t>$6.96B</t>
  </si>
  <si>
    <t>$4.17</t>
  </si>
  <si>
    <t>+7.8% YoY</t>
  </si>
  <si>
    <t>−8.9% YoY</t>
  </si>
  <si>
    <t>−4.2% YoY</t>
  </si>
  <si>
    <t>+5.6% YoY</t>
  </si>
  <si>
    <t>−7.9% YoY</t>
  </si>
  <si>
    <t>−8.6% YoY</t>
  </si>
  <si>
    <t>EBITDAX Margin</t>
  </si>
  <si>
    <t>43.1%</t>
  </si>
  <si>
    <t>EXCELLENT</t>
  </si>
  <si>
    <t>Net Debt/EBITDAX</t>
  </si>
  <si>
    <t>0.94x</t>
  </si>
  <si>
    <t>INVESTMENT GRADE</t>
  </si>
  <si>
    <t>Net Profit Margin</t>
  </si>
  <si>
    <t>15.6%</t>
  </si>
  <si>
    <t>STRONG</t>
  </si>
  <si>
    <t>Interest Coverage</t>
  </si>
  <si>
    <t>8.6x</t>
  </si>
  <si>
    <t>VERY STRONG</t>
  </si>
  <si>
    <t>ROE (Devon)</t>
  </si>
  <si>
    <t>17.6%</t>
  </si>
  <si>
    <t>Current Ratio</t>
  </si>
  <si>
    <t>0.98x</t>
  </si>
  <si>
    <t>WATCH</t>
  </si>
  <si>
    <t>ROA</t>
  </si>
  <si>
    <t>8.6%</t>
  </si>
  <si>
    <t>GOOD</t>
  </si>
  <si>
    <t>EV/EBITDAX</t>
  </si>
  <si>
    <t>~3.7x</t>
  </si>
  <si>
    <t>DEEP VALUE</t>
  </si>
  <si>
    <t>Free Cash Flow Margin</t>
  </si>
  <si>
    <t>18.2%</t>
  </si>
  <si>
    <t>Cash Conversion</t>
  </si>
  <si>
    <t>2.50x</t>
  </si>
  <si>
    <t>▶  INVESTMENT DECISION:  HOLD / SELECTIVE ACCUMULATE  |  Target Accumulate below $30/share</t>
  </si>
  <si>
    <t>3-YEAR FINANCIAL TREND SUMMARY</t>
  </si>
  <si>
    <t>METRIC</t>
  </si>
  <si>
    <t>FY2023</t>
  </si>
  <si>
    <t>FY2024</t>
  </si>
  <si>
    <t>FY2025</t>
  </si>
  <si>
    <t>TREND</t>
  </si>
  <si>
    <t>CAGR (2-YR)</t>
  </si>
  <si>
    <t>Total Revenue ($M)</t>
  </si>
  <si>
    <t>↑</t>
  </si>
  <si>
    <t>OGN Revenue ($M)</t>
  </si>
  <si>
    <t>Net Earnings ($M)</t>
  </si>
  <si>
    <t>↓</t>
  </si>
  <si>
    <t>−15.8%</t>
  </si>
  <si>
    <t>EBITDAX ($M)</t>
  </si>
  <si>
    <t>→</t>
  </si>
  <si>
    <t>−0.8%</t>
  </si>
  <si>
    <t>Operating CF ($M)</t>
  </si>
  <si>
    <t>FCF ($M)</t>
  </si>
  <si>
    <t>Total Assets ($B)</t>
  </si>
  <si>
    <t>Total Equity ($B)</t>
  </si>
  <si>
    <t>Total Revenue</t>
  </si>
  <si>
    <t>EBITDAX</t>
  </si>
  <si>
    <t>Year Ended December 31, 2023 | 2024 | 2025  (Amounts in $Millions, except per share data)  |  US GAAP</t>
  </si>
  <si>
    <t>LINE ITEM</t>
  </si>
  <si>
    <t>FY2023
($M)</t>
  </si>
  <si>
    <t>FY2024
($M)</t>
  </si>
  <si>
    <t>FY2025
($M)</t>
  </si>
  <si>
    <t>YoY%
2024</t>
  </si>
  <si>
    <t>YoY%
2025</t>
  </si>
  <si>
    <t>3-Yr
CAGR</t>
  </si>
  <si>
    <t>DATA SOURCE / NOTE</t>
  </si>
  <si>
    <t>REVENUES</t>
  </si>
  <si>
    <t xml:space="preserve">    Oil sales</t>
  </si>
  <si>
    <t>Source: 10-K Disaggregation of Revenue Note, p.113</t>
  </si>
  <si>
    <t xml:space="preserve">    Natural gas sales</t>
  </si>
  <si>
    <t xml:space="preserve">    NGL (Natural Gas Liquids) sales</t>
  </si>
  <si>
    <t>OIL, GAS &amp; NGL SALES</t>
  </si>
  <si>
    <t>Verified: $10,791M | $11,176M | $11,223M</t>
  </si>
  <si>
    <t xml:space="preserve">    Oil, gas &amp; NGL derivatives (gain/loss)</t>
  </si>
  <si>
    <t>Commodity derivative fair value changes; ASC 815 mark-to-market</t>
  </si>
  <si>
    <t xml:space="preserve">    Marketing &amp; midstream revenues</t>
  </si>
  <si>
    <t>Third-party marketing of purchased commodities; gross presentation</t>
  </si>
  <si>
    <t>TOTAL REVENUES</t>
  </si>
  <si>
    <t>Verified: $15,258M | $15,940M | $17,188M</t>
  </si>
  <si>
    <t>PRODUCTION EXPENSES</t>
  </si>
  <si>
    <t xml:space="preserve">    Lease operating expenses (LOE)</t>
  </si>
  <si>
    <t>Direct well-level operating costs</t>
  </si>
  <si>
    <t xml:space="preserve">    Gathering, processing &amp; transportation (GP&amp;T)</t>
  </si>
  <si>
    <t>Midstream fees for moving production to market</t>
  </si>
  <si>
    <t xml:space="preserve">    Production &amp; property taxes</t>
  </si>
  <si>
    <t>Severance, ad valorem and production-related taxes</t>
  </si>
  <si>
    <t>TOTAL PRODUCTION EXPENSES</t>
  </si>
  <si>
    <t>Verified: $2,928M | $3,183M | $3,567M</t>
  </si>
  <si>
    <t>OPERATING EXPENSES</t>
  </si>
  <si>
    <t xml:space="preserve">    Exploration expenses</t>
  </si>
  <si>
    <t>Dry hole costs, seismic &amp; geological expenditures</t>
  </si>
  <si>
    <t xml:space="preserve">    Marketing &amp; midstream expenses</t>
  </si>
  <si>
    <t>Cost of purchased commodities for marketing (gross)</t>
  </si>
  <si>
    <t xml:space="preserve">    Depreciation, depletion &amp; amortization (DD&amp;A)</t>
  </si>
  <si>
    <t>Units-of-production method per ASC 932; $3.6B FY25</t>
  </si>
  <si>
    <t xml:space="preserve">    Asset impairments</t>
  </si>
  <si>
    <t>Oil/gas property impairment write-down FY2025 only</t>
  </si>
  <si>
    <t xml:space="preserve">    Asset dispositions (net gain/loss)</t>
  </si>
  <si>
    <t>Net (gains)/losses on property sales; negative=gain</t>
  </si>
  <si>
    <t xml:space="preserve">    General &amp; administrative expenses (G&amp;A)</t>
  </si>
  <si>
    <t>Corporate overhead; includes $99M share-based comp FY25</t>
  </si>
  <si>
    <t xml:space="preserve">    Financing costs, net</t>
  </si>
  <si>
    <t>Net interest expense; weighted avg rate ~5.5% on $8.4B debt</t>
  </si>
  <si>
    <t xml:space="preserve">    Other, net</t>
  </si>
  <si>
    <t>Accretion on ARO, pension, miscellaneous</t>
  </si>
  <si>
    <t xml:space="preserve">    Research &amp; development expenses (N/A — E&amp;P sector)</t>
  </si>
  <si>
    <t>Not applicable — oil &amp; gas E&amp;P companies do not incur R&amp;D</t>
  </si>
  <si>
    <t xml:space="preserve">    Restructuring &amp; transaction costs (N/A this period)</t>
  </si>
  <si>
    <t>Included in G&amp;A in prior periods; not separately disclosed</t>
  </si>
  <si>
    <t>TOTAL EXPENSES</t>
  </si>
  <si>
    <t>Verified: $10,635M | $12,228M | $13,722M</t>
  </si>
  <si>
    <t>EARNINGS &amp; TAX</t>
  </si>
  <si>
    <t>EARNINGS BEFORE INCOME TAXES (EBT)</t>
  </si>
  <si>
    <t>Verified: $4,623M | $3,712M | $3,466M</t>
  </si>
  <si>
    <t xml:space="preserve">    Income tax expense</t>
  </si>
  <si>
    <t>Effective tax rate ~22.6%/20.7%/22.6% vs 21% federal + state</t>
  </si>
  <si>
    <t>NET EARNINGS (Total)</t>
  </si>
  <si>
    <t>Verified: $3,782M | $2,942M | $2,681M</t>
  </si>
  <si>
    <t xml:space="preserve">    Less: Net earnings attributable to noncontrolling interests (NCI)</t>
  </si>
  <si>
    <t>CDM joint venture (QLCP); acquired 100% in 2025</t>
  </si>
  <si>
    <t>NET EARNINGS ATTRIBUTABLE TO DEVON</t>
  </si>
  <si>
    <t>Verified: $3,747M | $2,891M | $2,642M</t>
  </si>
  <si>
    <t>OTHER COMPREHENSIVE EARNINGS/(LOSS)</t>
  </si>
  <si>
    <t xml:space="preserve">    Pension &amp; postretirement plan adjustments</t>
  </si>
  <si>
    <t>Net of deferred tax; per SFAS 158 / ASC 715</t>
  </si>
  <si>
    <t>COMPREHENSIVE EARNINGS (Total)</t>
  </si>
  <si>
    <t>Verified: $3,774M | $2,944M | $2,681M</t>
  </si>
  <si>
    <t>EARNINGS PER SHARE (EPS)</t>
  </si>
  <si>
    <t>Basic EPS ($)</t>
  </si>
  <si>
    <t>Source: 10-K p.99</t>
  </si>
  <si>
    <t>Diluted EPS ($)</t>
  </si>
  <si>
    <t>Dividends per share ($) — declared</t>
  </si>
  <si>
    <t>Fixed $0.20/qtr + variable component based on FCF</t>
  </si>
  <si>
    <t>Weighted avg shares — Basic (M)</t>
  </si>
  <si>
    <t>Derived: Net earnings ÷ Basic EPS</t>
  </si>
  <si>
    <t>KEY PERFORMANCE METRICS (Non-GAAP &amp; Computed)</t>
  </si>
  <si>
    <t>EBITDA ($M)</t>
  </si>
  <si>
    <t>EBITDAX ($M) — Non-GAAP</t>
  </si>
  <si>
    <t>Source: 10-K p.90 — reconciled from net earnings</t>
  </si>
  <si>
    <t>As at December 31  |  FY2023 (estimated*) | FY2024 (audited) | FY2025 (audited)  |  $Millions  |  US GAAP</t>
  </si>
  <si>
    <t>* FY2023 estimated: This 10-K presents FY2025/FY2024 comparative balance sheets only. FY2023 figures are reconstructed using: (a) Total assets $24,490M from Segment Note; (b) Total equity $12,217M from Equity Statement; (c) Cash $875M from CFS; (d) debt trajectory from financing activities; (e) all other items estimated from disclosed trends.</t>
  </si>
  <si>
    <t>FY2023e ($M)</t>
  </si>
  <si>
    <t>FY2024 ($M)</t>
  </si>
  <si>
    <t>FY2025 ($M)</t>
  </si>
  <si>
    <t>Δ YoY%
2025</t>
  </si>
  <si>
    <t>Δ 2-Yr%
23→25</t>
  </si>
  <si>
    <t>SOURCE / NOTE</t>
  </si>
  <si>
    <t>ASSETS</t>
  </si>
  <si>
    <t>CURRENT ASSETS</t>
  </si>
  <si>
    <t xml:space="preserve">    Cash, cash equivalents &amp; restricted cash</t>
  </si>
  <si>
    <t>FY2023 exact from CFS end balance</t>
  </si>
  <si>
    <t xml:space="preserve">    Accounts receivable (net of allowance)</t>
  </si>
  <si>
    <t>FY2024/25 per BS; FY2023 est. pre-Grayson level</t>
  </si>
  <si>
    <t xml:space="preserve">    Inventory (fuel, materials &amp; supplies)</t>
  </si>
  <si>
    <t>Product and equipment inventories</t>
  </si>
  <si>
    <t xml:space="preserve">    Derivative assets (current)</t>
  </si>
  <si>
    <t>Fair value of commodity hedges; estimated</t>
  </si>
  <si>
    <t xml:space="preserve">    Other current assets (prepaid, taxes receivable)</t>
  </si>
  <si>
    <t>Prepaid expenses and sundry current items</t>
  </si>
  <si>
    <t>TOTAL CURRENT ASSETS</t>
  </si>
  <si>
    <t>FY2024/25 per 10-K; FY2023 estimated</t>
  </si>
  <si>
    <t>NON-CURRENT ASSETS</t>
  </si>
  <si>
    <t xml:space="preserve">    Oil &amp; gas property and equipment (PP&amp;E), net</t>
  </si>
  <si>
    <t>Successful efforts method; FY2025 depletion $3.6B</t>
  </si>
  <si>
    <t xml:space="preserve">    Other property and equipment, net</t>
  </si>
  <si>
    <t>Midstream, office &amp; technology infrastructure</t>
  </si>
  <si>
    <t xml:space="preserve">    Goodwill</t>
  </si>
  <si>
    <t>Unchanged; no impairment taken FY2023–2025</t>
  </si>
  <si>
    <t xml:space="preserve">    Right-of-use (ROU) assets — operating leases</t>
  </si>
  <si>
    <t>ASC 842 operating lease right-of-use assets</t>
  </si>
  <si>
    <t xml:space="preserve">    Equity method investments</t>
  </si>
  <si>
    <t>Primarily Catalyst midstream JV</t>
  </si>
  <si>
    <t xml:space="preserve">    Deferred income tax assets (long-term)</t>
  </si>
  <si>
    <t>Not separately disclosed; net deferred tax liability position</t>
  </si>
  <si>
    <t xml:space="preserve">    Other long-term assets (pension, deposits)</t>
  </si>
  <si>
    <t>Includes pension asset, deposits, other</t>
  </si>
  <si>
    <t>TOTAL NON-CURRENT ASSETS</t>
  </si>
  <si>
    <t>Sum of all non-current asset components</t>
  </si>
  <si>
    <t>TOTAL ASSETS</t>
  </si>
  <si>
    <t>Verified: $24,490M | $30,489M | $31,599M</t>
  </si>
  <si>
    <t>LIABILITIES &amp; EQUITY</t>
  </si>
  <si>
    <t>CURRENT LIABILITIES</t>
  </si>
  <si>
    <t xml:space="preserve">    Accounts payable</t>
  </si>
  <si>
    <t>Trade payables to vendors and suppliers</t>
  </si>
  <si>
    <t xml:space="preserve">    Revenues &amp; royalties payable</t>
  </si>
  <si>
    <t>Accrued production revenue owed to interest owners</t>
  </si>
  <si>
    <t xml:space="preserve">    Short-term debt (current portion of LTD)</t>
  </si>
  <si>
    <t>FY24: 5.85% notes due Dec'25; FY25: Term Loan due Sep'26</t>
  </si>
  <si>
    <t xml:space="preserve">    Derivative liabilities (current)</t>
  </si>
  <si>
    <t>Fair value of out-of-money commodity hedges</t>
  </si>
  <si>
    <t xml:space="preserve">    Income taxes payable</t>
  </si>
  <si>
    <t>Current tax payable; settled within operating cycle</t>
  </si>
  <si>
    <t xml:space="preserve">    Accrued compensation &amp; benefits</t>
  </si>
  <si>
    <t>Accrued payroll, bonuses, and employee benefits</t>
  </si>
  <si>
    <t xml:space="preserve">    Other current liabilities (accrued expenses)</t>
  </si>
  <si>
    <t>Miscellaneous accruals and current obligations</t>
  </si>
  <si>
    <t>TOTAL CURRENT LIABILITIES</t>
  </si>
  <si>
    <t>Verified: $3,309M | $4,086M (10-K p.101)</t>
  </si>
  <si>
    <t>NON-CURRENT LIABILITIES</t>
  </si>
  <si>
    <t xml:space="preserve">    Long-term debt (net of issuance costs)</t>
  </si>
  <si>
    <t>Senior notes + Term Loan; FY23 est. pre-Grayson; FY24/25 per 10-K</t>
  </si>
  <si>
    <t xml:space="preserve">    Lease liabilities (long-term operating leases)</t>
  </si>
  <si>
    <t>ASC 842 long-term lease obligations</t>
  </si>
  <si>
    <t xml:space="preserve">    Asset retirement obligations (ARO)</t>
  </si>
  <si>
    <t>PV of future well P&amp;A costs; accretion each period</t>
  </si>
  <si>
    <t xml:space="preserve">    Deferred income taxes (long-term liability)</t>
  </si>
  <si>
    <t>Excess of tax depreciation over book DD&amp;A; ASC 740</t>
  </si>
  <si>
    <t xml:space="preserve">    Pension &amp; postretirement benefit obligations</t>
  </si>
  <si>
    <t>Defined benefit pension; SFAS 87/ASC 715</t>
  </si>
  <si>
    <t xml:space="preserve">    Other long-term liabilities</t>
  </si>
  <si>
    <t>Environmental, legal, and other non-current obligations</t>
  </si>
  <si>
    <t>TOTAL NON-CURRENT LIABILITIES</t>
  </si>
  <si>
    <t>Sum of all non-current liabilities</t>
  </si>
  <si>
    <t>TOTAL LIABILITIES</t>
  </si>
  <si>
    <t>Total obligations to creditors and other claimants</t>
  </si>
  <si>
    <t>STOCKHOLDERS' EQUITY</t>
  </si>
  <si>
    <t xml:space="preserve">    Common stock ($0.10 par; issued 636M/651M/622M shares)</t>
  </si>
  <si>
    <t>Par value only; economic value in APIC</t>
  </si>
  <si>
    <t xml:space="preserve">    Additional paid-in capital (APIC)</t>
  </si>
  <si>
    <t>Excess over par; reduced by buyback retirements</t>
  </si>
  <si>
    <t xml:space="preserve">    Retained earnings</t>
  </si>
  <si>
    <t>Cumulative net earnings less dividends paid</t>
  </si>
  <si>
    <t xml:space="preserve">    Accumulated other comprehensive loss (AOCI)</t>
  </si>
  <si>
    <t>Pension AOCI; reclassified from OCI net of tax</t>
  </si>
  <si>
    <t xml:space="preserve">    Treasury stock (at cost)</t>
  </si>
  <si>
    <t>Repurchased shares; cancelled/retired in FY2024</t>
  </si>
  <si>
    <t>TOTAL STOCKHOLDERS' EQUITY ATTR. TO DEVON</t>
  </si>
  <si>
    <t>Verified: $14,496M | $15,528M (10-K p.102)</t>
  </si>
  <si>
    <t xml:space="preserve">    Noncontrolling interests (NCI)</t>
  </si>
  <si>
    <t>CDM JV (QLCP); acquired 100% in 2025 — NCI eliminated</t>
  </si>
  <si>
    <t>TOTAL EQUITY</t>
  </si>
  <si>
    <t>Verified: $12,217M | $14,704M | $15,528M</t>
  </si>
  <si>
    <t>TOTAL LIABILITIES &amp; EQUITY</t>
  </si>
  <si>
    <t>MUST equal Total Assets — see balance check below</t>
  </si>
  <si>
    <t>BALANCE CHECK (Assets = Liabilities + Equity):</t>
  </si>
  <si>
    <t>Year Ended December 31, 2023 | 2024 | 2025  |  Amounts in $Millions  |  Indirect Method  |  US GAAP  |  ASC 230</t>
  </si>
  <si>
    <t>FY2023 ($M)</t>
  </si>
  <si>
    <t>YoY%
FY24</t>
  </si>
  <si>
    <t>YoY%
FY25</t>
  </si>
  <si>
    <t>OPERATING ACTIVITIES</t>
  </si>
  <si>
    <t xml:space="preserve">    Net earnings (starting point — indirect method)</t>
  </si>
  <si>
    <t>From IS; includes NCI portion; ASC 230 indirect</t>
  </si>
  <si>
    <t>ADJUSTMENTS TO RECONCILE NET EARNINGS TO OPERATING CF:</t>
  </si>
  <si>
    <t>Largest non-cash add-back; units-of-production method</t>
  </si>
  <si>
    <t>FY2025 impairment write-down (non-cash)</t>
  </si>
  <si>
    <t xml:space="preserve">    Leasehold impairments</t>
  </si>
  <si>
    <t>Unproved leasehold write-offs</t>
  </si>
  <si>
    <t xml:space="preserve">    Accretion on ARO and other discounted liabilities</t>
  </si>
  <si>
    <t>Unwinding of discount on asset retirement obligations</t>
  </si>
  <si>
    <t xml:space="preserve">    Total gains on commodity derivatives (non-cash)</t>
  </si>
  <si>
    <t>Non-cash mark-to-market derivative gains — reversed</t>
  </si>
  <si>
    <t xml:space="preserve">    Cash settlements on commodity derivatives</t>
  </si>
  <si>
    <t>Actual cash received/paid on derivative settlements</t>
  </si>
  <si>
    <t xml:space="preserve">    (Gains)/losses on asset dispositions</t>
  </si>
  <si>
    <t>Non-cash accounting gain on property sales — reversed</t>
  </si>
  <si>
    <t xml:space="preserve">    Deferred income tax expense</t>
  </si>
  <si>
    <t>Non-cash deferred tax change; ASC 740 timing difference</t>
  </si>
  <si>
    <t xml:space="preserve">    Share-based compensation expense (non-cash)</t>
  </si>
  <si>
    <t>RSA/RSU/PSU vesting expense; non-cash APIC addition</t>
  </si>
  <si>
    <t xml:space="preserve">    Other non-cash adjustments</t>
  </si>
  <si>
    <t>Miscellaneous adjustments; net other items</t>
  </si>
  <si>
    <t xml:space="preserve">    Changes in assets &amp; liabilities (working capital)</t>
  </si>
  <si>
    <t>Net change in operating WC: AR, AP, inventory, accruals</t>
  </si>
  <si>
    <t xml:space="preserve">    Changes in income taxes receivable/payable</t>
  </si>
  <si>
    <t>Included in working capital changes above</t>
  </si>
  <si>
    <t xml:space="preserve">    Other operating items (N/A — not separately disclosed)</t>
  </si>
  <si>
    <t>Not separately disclosed; included in other line items</t>
  </si>
  <si>
    <t>TOTAL ADJUSTMENTS</t>
  </si>
  <si>
    <t>NET CASH FROM OPERATING ACTIVITIES</t>
  </si>
  <si>
    <t>Verified: $6,544M | $6,600M | $6,711M</t>
  </si>
  <si>
    <t>INVESTING ACTIVITIES</t>
  </si>
  <si>
    <t xml:space="preserve">    Capital expenditures (organic drilling &amp; development)</t>
  </si>
  <si>
    <t>Verified: -$3,883M | -$3,645M | -$3,592M (10-K p.103)</t>
  </si>
  <si>
    <t xml:space="preserve">    Acquisitions of property &amp; equipment</t>
  </si>
  <si>
    <t>FY2024: Grayson Mill ($3.5B cash); FY2025: bolt-ons</t>
  </si>
  <si>
    <t xml:space="preserve">    Divestitures of property, equipment &amp; investments</t>
  </si>
  <si>
    <t>Proceeds from asset sales and portfolio pruning</t>
  </si>
  <si>
    <t xml:space="preserve">    Acquired cash (Grayson Mill acquisition)</t>
  </si>
  <si>
    <t>Cash acquired with Grayson Mill in Sep 2024</t>
  </si>
  <si>
    <t xml:space="preserve">    Distributions from equity investments</t>
  </si>
  <si>
    <t>Cash distributions from Catalyst and other JVs</t>
  </si>
  <si>
    <t xml:space="preserve">    Contributions to investments &amp; other</t>
  </si>
  <si>
    <t>Capital contributions to equity method investees</t>
  </si>
  <si>
    <t xml:space="preserve">    Purchases of marketable securities (N/A)</t>
  </si>
  <si>
    <t>Not applicable — Devon does not hold significant marketable securities</t>
  </si>
  <si>
    <t>NET CASH FROM INVESTING ACTIVITIES</t>
  </si>
  <si>
    <t>Verified: -$3,942M | -$7,332M | -$3,393M</t>
  </si>
  <si>
    <t>FINANCING ACTIVITIES</t>
  </si>
  <si>
    <t xml:space="preserve">    Borrowings of long-term debt (net of issuance costs)</t>
  </si>
  <si>
    <t>FY2024: Grayson Mill financing; senior notes</t>
  </si>
  <si>
    <t xml:space="preserve">    Repayments of long-term debt</t>
  </si>
  <si>
    <t>Scheduled principal repayments on notes</t>
  </si>
  <si>
    <t xml:space="preserve">    Repurchases of common stock (buybacks)</t>
  </si>
  <si>
    <t>Open market repurchases; ~30–31M shares/yr retired</t>
  </si>
  <si>
    <t xml:space="preserve">    Dividends paid on common stock</t>
  </si>
  <si>
    <t>Fixed + variable dividend; reduced as variable component fell</t>
  </si>
  <si>
    <t xml:space="preserve">    Contributions from noncontrolling interests</t>
  </si>
  <si>
    <t>QLCP contributions to CDM JV</t>
  </si>
  <si>
    <t xml:space="preserve">    Distributions to noncontrolling interests</t>
  </si>
  <si>
    <t>QLCP distributions from CDM JV</t>
  </si>
  <si>
    <t xml:space="preserve">    Acquisition of noncontrolling interests</t>
  </si>
  <si>
    <t>FY2025: Devon acquired remaining QLCP stake in CDM</t>
  </si>
  <si>
    <t xml:space="preserve">    Repayment of finance lease liabilities</t>
  </si>
  <si>
    <t>Finance lease principal payments FY2025 only</t>
  </si>
  <si>
    <t xml:space="preserve">    Shares exchanged for tax withholdings &amp; other</t>
  </si>
  <si>
    <t>Share settlement of RSU vesting tax obligations</t>
  </si>
  <si>
    <t xml:space="preserve">    Proceeds from issuance of common stock (N/A)</t>
  </si>
  <si>
    <t>Devon did not issue shares for cash in these periods</t>
  </si>
  <si>
    <t>NET CASH FROM FINANCING ACTIVITIES</t>
  </si>
  <si>
    <t>Verified: -$3,184M | +$706M | -$2,730M</t>
  </si>
  <si>
    <t>CASH RECONCILIATION</t>
  </si>
  <si>
    <t xml:space="preserve">    Effect of exchange rate changes on cash</t>
  </si>
  <si>
    <t>Minimal FX exposure (US-only operations)</t>
  </si>
  <si>
    <t>NET CHANGE IN CASH, EQUIVALENTS &amp; RESTRICTED CASH</t>
  </si>
  <si>
    <t>Verified: -$579M | -$29M | +$588M</t>
  </si>
  <si>
    <t xml:space="preserve">    Cash, equivalents &amp; restricted cash — Beginning</t>
  </si>
  <si>
    <t>BOP cash; ties to prior year EOP balance</t>
  </si>
  <si>
    <t>CASH, EQUIVALENTS &amp; RESTRICTED CASH — ENDING</t>
  </si>
  <si>
    <t>Verified: $875M | $846M | $1,434M</t>
  </si>
  <si>
    <t>CASH TIE-OUT (CFS End = BS Cash):</t>
  </si>
  <si>
    <t>KEY CASH FLOW METRICS</t>
  </si>
  <si>
    <t>FREE CASH FLOW (Operating CF – Organic CapEx)</t>
  </si>
  <si>
    <t>Organic FCF (excl. acquisitions); $2,661M | $2,955M | $3,119M</t>
  </si>
  <si>
    <t xml:space="preserve">    Total capital deployed (CapEx + Acquisitions)</t>
  </si>
  <si>
    <t xml:space="preserve">    Total shareholder returns (Dividends + Buybacks)</t>
  </si>
  <si>
    <t>Capital returned to shareholders</t>
  </si>
  <si>
    <t>All ratios computed from financial statements. Cross-sheet formulas auto-update when source data changes.</t>
  </si>
  <si>
    <t>RATIO</t>
  </si>
  <si>
    <t>BENCHMARK
(E&amp;P Sector)</t>
  </si>
  <si>
    <t>STATUS
FY2025</t>
  </si>
  <si>
    <t>FORMULA &amp; INTERPRETATION</t>
  </si>
  <si>
    <t>&gt;1.25x</t>
  </si>
  <si>
    <t>⚠ Adequate</t>
  </si>
  <si>
    <t xml:space="preserve"> =total current assets ÷ Total Current Liabilities; measures short-term solvency</t>
  </si>
  <si>
    <t>Quick Ratio ((Cash+AR)/CL)</t>
  </si>
  <si>
    <t>&gt;1.0x</t>
  </si>
  <si>
    <t>✅ Strong</t>
  </si>
  <si>
    <t xml:space="preserve"> =(cash + receivables) ÷ CL; excludes inventory — conservative test</t>
  </si>
  <si>
    <t>Cash Ratio</t>
  </si>
  <si>
    <t>&gt;0.3x</t>
  </si>
  <si>
    <t xml:space="preserve"> =cash ÷ Current Liabilities; most conservative liquidity test</t>
  </si>
  <si>
    <t>Net Working Capital ($M)</t>
  </si>
  <si>
    <t>Positive</t>
  </si>
  <si>
    <t>⚠ Watch</t>
  </si>
  <si>
    <t xml:space="preserve"> =current assets − Current Liabilities; negative = technical current deficit</t>
  </si>
  <si>
    <t>Operating Cash Flow Ratio</t>
  </si>
  <si>
    <t>&gt;1.5x</t>
  </si>
  <si>
    <t>✅ Very Strong</t>
  </si>
  <si>
    <t xml:space="preserve"> =operating cf ÷ Current Liabilities; best cash-based liquidity metric for E&amp;P</t>
  </si>
  <si>
    <t>Upstream Revenue Margin (OGN Sales/Total Rev)</t>
  </si>
  <si>
    <t>&gt;65%</t>
  </si>
  <si>
    <t>✅ Good</t>
  </si>
  <si>
    <t xml:space="preserve"> =oil/gas/ngl sales ÷ Total Revenue; core upstream vs. marketing pass-through</t>
  </si>
  <si>
    <t>Production Cost Margin (Prod Exp/OGN Revenue)</t>
  </si>
  <si>
    <t>&lt;35%</t>
  </si>
  <si>
    <t>⚠ Rising</t>
  </si>
  <si>
    <t xml:space="preserve"> =production expenses ÷ OGN Sales; LOE + GP&amp;T + taxes as % of upstream revenue</t>
  </si>
  <si>
    <t>Operating Margin (EBT/Total Revenue)</t>
  </si>
  <si>
    <t>&gt;20%</t>
  </si>
  <si>
    <t xml:space="preserve"> =ebt ÷ Total Revenue; pre-tax profitability on all activities</t>
  </si>
  <si>
    <t>Net Profit Margin (Net Earn./Total Rev)</t>
  </si>
  <si>
    <t>&gt;12%</t>
  </si>
  <si>
    <t xml:space="preserve"> =net earnings ÷ Total Revenue; bottom-line margin</t>
  </si>
  <si>
    <t>EBITDAX Margin (Non-GAAP)</t>
  </si>
  <si>
    <t>&gt;40%</t>
  </si>
  <si>
    <t>✅ Excellent</t>
  </si>
  <si>
    <t xml:space="preserve"> =ebitdax ÷ Total Revenue; primary E&amp;P profitability metric used by management/analysts</t>
  </si>
  <si>
    <t>Return on Assets (ROA)</t>
  </si>
  <si>
    <t>&gt;8%</t>
  </si>
  <si>
    <t xml:space="preserve"> =net earnings ÷ Avg Total Assets; efficiency of asset deployment</t>
  </si>
  <si>
    <t>Return on Equity (ROE) — Devon shareholders</t>
  </si>
  <si>
    <t>&gt;15%</t>
  </si>
  <si>
    <t xml:space="preserve"> =net earnings attr. devon ÷ Avg Devon Equity; wealth creation for common shareholders</t>
  </si>
  <si>
    <t>Return on Capital Employed (ROCE)</t>
  </si>
  <si>
    <t xml:space="preserve"> =ebt ÷ (Total Assets − Current Liabilities); measures efficiency of total long-term capital</t>
  </si>
  <si>
    <t>Tax Rate (Effective)</t>
  </si>
  <si>
    <t>21–25%</t>
  </si>
  <si>
    <t>✅ Normal</t>
  </si>
  <si>
    <t xml:space="preserve"> =income tax ÷ EBT; Devon pays ~21% federal + state blended rate</t>
  </si>
  <si>
    <t>Total Debt / Total Equity (D/E)</t>
  </si>
  <si>
    <t>&lt;1.0x</t>
  </si>
  <si>
    <t>✅ Acceptable</t>
  </si>
  <si>
    <t xml:space="preserve"> =(lt debt + st debt) ÷ Total Equity; financial leverage measure</t>
  </si>
  <si>
    <t>Net Debt / EBITDAX</t>
  </si>
  <si>
    <t>&lt;2.0x</t>
  </si>
  <si>
    <t xml:space="preserve"> =(total debt − Cash) ÷ EBITDAX; primary E&amp;P credit metric)</t>
  </si>
  <si>
    <t>Interest Coverage (EBT + Fin Costs / Fin Costs)</t>
  </si>
  <si>
    <t>&gt;5x</t>
  </si>
  <si>
    <t xml:space="preserve"> =(ebt + financing costs) ÷ Financing Costs; debt service cushion</t>
  </si>
  <si>
    <t>Equity Ratio (Total Equity / Total Assets)</t>
  </si>
  <si>
    <t xml:space="preserve"> =total equity ÷ Total Assets; proportion of assets funded by equity</t>
  </si>
  <si>
    <t>Debt Ratio (Total Liabilities / Total Assets)</t>
  </si>
  <si>
    <t>&lt;60%</t>
  </si>
  <si>
    <t xml:space="preserve"> =total liabilities ÷ Total Assets; financial risk indicator</t>
  </si>
  <si>
    <t>Total Debt ($M)</t>
  </si>
  <si>
    <t>&lt;$10B</t>
  </si>
  <si>
    <t>✅ Managed</t>
  </si>
  <si>
    <t xml:space="preserve"> =long-term debt + short-term debt; gross debt position</t>
  </si>
  <si>
    <t>Net Debt ($M)</t>
  </si>
  <si>
    <t>&lt;$8B</t>
  </si>
  <si>
    <t>✅ Falling</t>
  </si>
  <si>
    <t xml:space="preserve"> =total debt − Cash; represents net financial indebtedness</t>
  </si>
  <si>
    <t>Asset Turnover</t>
  </si>
  <si>
    <t>&gt;0.5x</t>
  </si>
  <si>
    <t>✅ Adequate</t>
  </si>
  <si>
    <t xml:space="preserve"> =revenue ÷ Avg Total Assets; revenue generated per $1 of assets</t>
  </si>
  <si>
    <t>Days Sales Outstanding (DSO)</t>
  </si>
  <si>
    <t>&lt;30 days</t>
  </si>
  <si>
    <t xml:space="preserve"> =ar ÷ (OGN Revenue/365); E&amp;P typically collects within 30 days</t>
  </si>
  <si>
    <t>Days Payable Outstanding (DPO)</t>
  </si>
  <si>
    <t>&gt;30 days</t>
  </si>
  <si>
    <t xml:space="preserve"> =ap ÷ (Prod. Expenses/365); how long Devon takes to pay suppliers</t>
  </si>
  <si>
    <t>Inventory Turnover (COGS proxy / Avg Inventory)</t>
  </si>
  <si>
    <t>&gt;10x</t>
  </si>
  <si>
    <t xml:space="preserve"> =production expenses ÷ Avg Inventory; operating inventory consumed rapidly</t>
  </si>
  <si>
    <t>PP&amp;E Turnover</t>
  </si>
  <si>
    <t>&gt;0.6x</t>
  </si>
  <si>
    <t xml:space="preserve"> =revenue ÷ Net Oil &amp; Gas PP&amp;E; revenue from each $1 of oil/gas assets</t>
  </si>
  <si>
    <t>Free Cash Flow ($M)</t>
  </si>
  <si>
    <t>&gt;$2B</t>
  </si>
  <si>
    <t xml:space="preserve"> =operating cf − Organic CapEx; cash available for debt service, dividends, buybacks</t>
  </si>
  <si>
    <t>FCF Margin (FCF / Total Revenue)</t>
  </si>
  <si>
    <t xml:space="preserve"> =fcf ÷ Total Revenue; % of every revenue dollar converted to free cash</t>
  </si>
  <si>
    <t>Cash Conversion (Operating CF / Net Earnings)</t>
  </si>
  <si>
    <t xml:space="preserve"> =operating cf ÷ Net Earnings; &gt;1.0x confirms earnings quality (cash-backed)</t>
  </si>
  <si>
    <t>CapEx / Revenue</t>
  </si>
  <si>
    <t>15–25%</t>
  </si>
  <si>
    <t xml:space="preserve"> =capex ÷ Revenue; E&amp;P capital intensity; Devon managing within OCF</t>
  </si>
  <si>
    <t>Dividend Payout (Div Paid / Net Earnings)</t>
  </si>
  <si>
    <t>20–40%</t>
  </si>
  <si>
    <t>✅ Reduced</t>
  </si>
  <si>
    <t xml:space="preserve"> =dividends paid ÷ Net Earnings; variable dividend reduced with lower earnings</t>
  </si>
  <si>
    <t>Total Shareholder Return Yield (Div+Buyback/Net Earn)</t>
  </si>
  <si>
    <t>&gt;50%</t>
  </si>
  <si>
    <t xml:space="preserve"> =(dividends + buybacks) ÷ Net Earnings; total capital returned to shareholders</t>
  </si>
  <si>
    <t>▶  FINAL INVESTMENT CONCLUSION &amp; DECISION</t>
  </si>
  <si>
    <t>FACTOR</t>
  </si>
  <si>
    <t>ANALYSIS SUMMARY</t>
  </si>
  <si>
    <t>SIGNAL</t>
  </si>
  <si>
    <t>Profitability</t>
  </si>
  <si>
    <t>EBITDAX $7.4B, Net Margin 15.6%, ROE 18.2% — peer-leading margins</t>
  </si>
  <si>
    <t>STRONG POSITIVE</t>
  </si>
  <si>
    <t>Cash Flow</t>
  </si>
  <si>
    <t>FCF $3.1B organic; OCF $6.7B; Cash Conversion 2.50x — exceptional</t>
  </si>
  <si>
    <t>Balance Sheet</t>
  </si>
  <si>
    <t>Equity $15.5B rising; Net Debt/EBITDAX 0.94x; post-refi deleveraging</t>
  </si>
  <si>
    <t>POSITIVE</t>
  </si>
  <si>
    <t>Liquidity</t>
  </si>
  <si>
    <t>Current Ratio 0.98x (negative NWC) mitigated by $6.7B annual OCF</t>
  </si>
  <si>
    <t>NEUTRAL</t>
  </si>
  <si>
    <t>Revenue Trend</t>
  </si>
  <si>
    <t>Total revenue +12.7% (2-yr); OGN sales broadly flat ($10.8B–$11.2B)</t>
  </si>
  <si>
    <t>Earnings Trend</t>
  </si>
  <si>
    <t>Net earnings declining: $3.78B→$2.94B→$2.68B; lower commodity prices</t>
  </si>
  <si>
    <t>NEGATIVE WATCH</t>
  </si>
  <si>
    <t>Shareholder Rtn</t>
  </si>
  <si>
    <t>$1.0B buybacks + $0.6B dividends = $1.65B returned FY2025</t>
  </si>
  <si>
    <t>Valuation</t>
  </si>
  <si>
    <t>EV/EBITDAX ~3.7x (vs 5–7x US E&amp;P peers) = significant discount</t>
  </si>
  <si>
    <t>Corporate Action</t>
  </si>
  <si>
    <t>Announced Coterra Energy merger — transformative; integration risk</t>
  </si>
  <si>
    <t>MONITOR CLOSELY</t>
  </si>
  <si>
    <t>Commodity Risk</t>
  </si>
  <si>
    <t>Oil/gas price dependent; $10 WTI move ≈ $600M revenue impact</t>
  </si>
  <si>
    <t>KEY RISK</t>
  </si>
  <si>
    <t>INVESTMENT DECISION:  HOLD / SELECTIVE ACCUMULATE  (Rating: 3.5 / 5.0)</t>
  </si>
  <si>
    <t>Income Statement lines as % of Total Revenue | Balance Sheet lines as % of Total Assets</t>
  </si>
  <si>
    <t>FY2023 %</t>
  </si>
  <si>
    <t>FY2024 %</t>
  </si>
  <si>
    <t>FY2025 %</t>
  </si>
  <si>
    <t>Δ FY24 pp</t>
  </si>
  <si>
    <t>Δ FY25 pp</t>
  </si>
  <si>
    <t>3-Yr Trend</t>
  </si>
  <si>
    <t>INTERPRETATION</t>
  </si>
  <si>
    <t>Oil, Gas &amp; NGL Sales</t>
  </si>
  <si>
    <t>Core upstream revenue as share of total; declining as marketing grows</t>
  </si>
  <si>
    <t>Marketing &amp; Midstream Revenues</t>
  </si>
  <si>
    <t>Pass-through revenue growing; largely offset by matching expense</t>
  </si>
  <si>
    <t>TOTAL REVENUE (base)</t>
  </si>
  <si>
    <t>Base — all IS items divided by this</t>
  </si>
  <si>
    <t>Production Expenses (LOE + GP&amp;T + Taxes)</t>
  </si>
  <si>
    <t>Rising % — cost inflation; watch LOE trend</t>
  </si>
  <si>
    <t>DD&amp;A (Depreciation, Depletion &amp; Amortization)</t>
  </si>
  <si>
    <t>Rising — Grayson Mill acquired assets adding to depletable base</t>
  </si>
  <si>
    <t>G&amp;A Expenses</t>
  </si>
  <si>
    <t>Stable overhead leverage; slight reduction as revenue scales</t>
  </si>
  <si>
    <t>Financing Costs, Net</t>
  </si>
  <si>
    <t>Rising — higher debt post-Grayson acquisition (FY2024)</t>
  </si>
  <si>
    <t>EARNINGS BEFORE TAX MARGIN</t>
  </si>
  <si>
    <t>Declining — rising costs; watch recovery with commodity prices</t>
  </si>
  <si>
    <t>NET PROFIT MARGIN</t>
  </si>
  <si>
    <t>Declining but still strong; commodity price driven not operational</t>
  </si>
  <si>
    <t>EBITDAX MARGIN</t>
  </si>
  <si>
    <t>Stable high: ~43%–49% — core cash earnings quality maintained</t>
  </si>
  <si>
    <t>Cash &amp; Equivalents</t>
  </si>
  <si>
    <t>Rising — liquidity buffer strengthening post-FCF accumulation</t>
  </si>
  <si>
    <t>Oil &amp; Gas PP&amp;E (net)</t>
  </si>
  <si>
    <t>Dominant asset (73.8% FY25) — capital-intensive E&amp;P business</t>
  </si>
  <si>
    <t>TOTAL ASSETS (base)</t>
  </si>
  <si>
    <t>Base — all BS items divided by this</t>
  </si>
  <si>
    <t>Long-Term Debt</t>
  </si>
  <si>
    <t>Peaked FY2024 (Grayson financing); declining in FY2025 — deleveraging</t>
  </si>
  <si>
    <t>Total Stockholders' Equity</t>
  </si>
  <si>
    <t>Rising equity ratio — balance sheet becoming increasingly equity-funded</t>
  </si>
  <si>
    <t>Retained Earnings</t>
  </si>
  <si>
    <t>Rising sharply — profitable organic earnings retention</t>
  </si>
  <si>
    <t>Devon Energy vs Pioneer Natural Resources (FY2025e) | EOG Resources | ConocoPhillips | US E&amp;P Sector Average</t>
  </si>
  <si>
    <t>Note: Competitor data represents approximate FY2025 estimates from publicly available reports/consensus. Devon FY2025 data is exact from 10-K. All values in $B or % as labelled.</t>
  </si>
  <si>
    <t>DEVON
(FY2025)</t>
  </si>
  <si>
    <t>PIONEER
(~FY25e)</t>
  </si>
  <si>
    <t>EOG
(~FY25e)</t>
  </si>
  <si>
    <t>COP
(~FY25e)</t>
  </si>
  <si>
    <t>SECTOR
AVG</t>
  </si>
  <si>
    <t>DEVON
RANK</t>
  </si>
  <si>
    <t>Total Revenues ($B)</t>
  </si>
  <si>
    <t>🥇 Smaller but focused</t>
  </si>
  <si>
    <t>🥈 Mid-size</t>
  </si>
  <si>
    <t>Market Cap ($B)</t>
  </si>
  <si>
    <t>🥉 Smaller by market cap</t>
  </si>
  <si>
    <t>🥈 2nd — strong</t>
  </si>
  <si>
    <t>Return on Equity</t>
  </si>
  <si>
    <t>🥈 2nd — very strong</t>
  </si>
  <si>
    <t>Return on Assets</t>
  </si>
  <si>
    <t>🥈 2nd — above avg</t>
  </si>
  <si>
    <t>🥉 Below peers — watch</t>
  </si>
  <si>
    <t>❌ Most leveraged — key risk</t>
  </si>
  <si>
    <t>Interest Coverage (x)</t>
  </si>
  <si>
    <t>🥉 Lower — Grayson debt impact</t>
  </si>
  <si>
    <t>Equity Ratio</t>
  </si>
  <si>
    <t>🥉 Below peers</t>
  </si>
  <si>
    <t>FCF Margin</t>
  </si>
  <si>
    <t>🥇 Best — excellent OCF quality</t>
  </si>
  <si>
    <t>CapEx/Revenue</t>
  </si>
  <si>
    <t>🥉 Higher CapEx intensity</t>
  </si>
  <si>
    <t>EV/EBITDAX (approx.)</t>
  </si>
  <si>
    <t>🥇 Cheapest — significant discount</t>
  </si>
  <si>
    <t>P/E (trailing, approx.)</t>
  </si>
  <si>
    <t>🥇 Cheapest — deep value signal</t>
  </si>
  <si>
    <t>Dividend Yield (approx.)</t>
  </si>
  <si>
    <t>🥉 Below peers — variable structure</t>
  </si>
  <si>
    <t>MODEL ASSUMPTIONS &amp; KEY DRIVERS — UPDATE BLUE CELLS TO CHANGE THE ENTIRE MODEL</t>
  </si>
  <si>
    <t>COMPANY IDENTITY</t>
  </si>
  <si>
    <t>Company Name</t>
  </si>
  <si>
    <t>Ticker: DVN | NYSE</t>
  </si>
  <si>
    <t>December 31</t>
  </si>
  <si>
    <t>Calendar year-end</t>
  </si>
  <si>
    <t>Currency</t>
  </si>
  <si>
    <t>USD — US Dollars</t>
  </si>
  <si>
    <t>$M unless stated in header</t>
  </si>
  <si>
    <t>US GAAP</t>
  </si>
  <si>
    <t>ASC / FASB standards</t>
  </si>
  <si>
    <t>Reporting Segments</t>
  </si>
  <si>
    <t>Single segment</t>
  </si>
  <si>
    <t>All US E&amp;P operations aggregated</t>
  </si>
  <si>
    <t>REVENUE ASSUMPTIONS</t>
  </si>
  <si>
    <t>Oil Price Realized ($/bbl) FY2025</t>
  </si>
  <si>
    <t>~$68</t>
  </si>
  <si>
    <t>Embedded in $8,906M oil sales / est. volumes</t>
  </si>
  <si>
    <t>Gas Price Realized ($/Mcf) FY2025</t>
  </si>
  <si>
    <t>~$2.10</t>
  </si>
  <si>
    <t>Embedded in $842M gas sales</t>
  </si>
  <si>
    <t>NGL Price Realized ($/Boe) FY2025</t>
  </si>
  <si>
    <t>~$20</t>
  </si>
  <si>
    <t>Embedded in $1,475M NGL sales</t>
  </si>
  <si>
    <t>Revenue Growth FY2023→FY2025</t>
  </si>
  <si>
    <t>6.1% (2-yr CAGR)</t>
  </si>
  <si>
    <t>OGN revenue broadly flat; marketing growing</t>
  </si>
  <si>
    <t>Marketing Revenue as % of Total</t>
  </si>
  <si>
    <t>32.4% FY2025</t>
  </si>
  <si>
    <t>COST STRUCTURE</t>
  </si>
  <si>
    <t>LOE per Boe (approx.)</t>
  </si>
  <si>
    <t>~$7.20</t>
  </si>
  <si>
    <t>FY2025: $1,922M / est. ~267 MBoe/d</t>
  </si>
  <si>
    <t>DD&amp;A Rate (per Boe approx.)</t>
  </si>
  <si>
    <t>~$13.50</t>
  </si>
  <si>
    <t>$3,595M / est. ~266 MBoe/d</t>
  </si>
  <si>
    <t>G&amp;A Rate</t>
  </si>
  <si>
    <t>$492M FY2025</t>
  </si>
  <si>
    <t>Includes ~$99M non-cash share comp</t>
  </si>
  <si>
    <t>Effective Tax Rate</t>
  </si>
  <si>
    <t>22.6% FY2025</t>
  </si>
  <si>
    <t>~21% federal + blended state rate</t>
  </si>
  <si>
    <t>Exploration Expense</t>
  </si>
  <si>
    <t>$43M FY2025</t>
  </si>
  <si>
    <t>Dry holes and seismic costs</t>
  </si>
  <si>
    <t>CAPITAL STRUCTURE</t>
  </si>
  <si>
    <t>Total Debt FY2025</t>
  </si>
  <si>
    <t>$8,389M</t>
  </si>
  <si>
    <t>$7,391M LT + $998M ST; avg rate ~5.5%</t>
  </si>
  <si>
    <t>Cash FY2025</t>
  </si>
  <si>
    <t>$1,434M</t>
  </si>
  <si>
    <t>Including $50M restricted cash</t>
  </si>
  <si>
    <t>Net Debt FY2025</t>
  </si>
  <si>
    <t>$6,955M</t>
  </si>
  <si>
    <t>Total Debt − Cash</t>
  </si>
  <si>
    <t>~620M</t>
  </si>
  <si>
    <t>As of Feb 4, 2026 (10-K filing)</t>
  </si>
  <si>
    <t>Annual Buyback Budget</t>
  </si>
  <si>
    <t>~$1B</t>
  </si>
  <si>
    <t>Consistent FY2023–FY2025 pace</t>
  </si>
  <si>
    <t>Fixed Dividend</t>
  </si>
  <si>
    <t>$0.20/share/quarter</t>
  </si>
  <si>
    <t>$0.80 fixed annual base</t>
  </si>
  <si>
    <t>Variable Dividend</t>
  </si>
  <si>
    <t>Commodity-linked</t>
  </si>
  <si>
    <t>Additional variable declared quarterly</t>
  </si>
  <si>
    <t>CAPITAL EXPENDITURES</t>
  </si>
  <si>
    <t>FY2025 Total CapEx</t>
  </si>
  <si>
    <t>$3,592M</t>
  </si>
  <si>
    <t>Organic; Delaware Basin heaviest at $1,834M</t>
  </si>
  <si>
    <t>FY2025 Acquisitions</t>
  </si>
  <si>
    <t>$322M</t>
  </si>
  <si>
    <t>Bolt-on acquisitions</t>
  </si>
  <si>
    <t>FY2026 CapEx Budget (guidance)</t>
  </si>
  <si>
    <t>$3,500–$3,700M</t>
  </si>
  <si>
    <t>~4% below FY2025 guidance midpoint</t>
  </si>
  <si>
    <t>CapEx-to-Revenue</t>
  </si>
  <si>
    <t>20.9% FY2025</t>
  </si>
  <si>
    <t>Within OCF; self-funding capex</t>
  </si>
  <si>
    <t>Maintenance CapEx (est.)</t>
  </si>
  <si>
    <t>~$1,500M</t>
  </si>
  <si>
    <t>Estimated to sustain current production</t>
  </si>
  <si>
    <t>BENCHMARK REFERENCES (E&amp;P SECTOR)</t>
  </si>
  <si>
    <t>Current Ratio Benchmark</t>
  </si>
  <si>
    <t>E&amp;P acceptable given OCF scale</t>
  </si>
  <si>
    <t>Net Debt/EBITDAX Benchmark</t>
  </si>
  <si>
    <t>Investment grade E&amp;P target</t>
  </si>
  <si>
    <t>FCF Margin Benchmark</t>
  </si>
  <si>
    <t>Top-quartile E&amp;P performance</t>
  </si>
  <si>
    <t>ROE Benchmark</t>
  </si>
  <si>
    <t>Large-cap US E&amp;P</t>
  </si>
  <si>
    <t>EBITDAX Margin Benchmark</t>
  </si>
  <si>
    <t>Premium E&amp;P operators</t>
  </si>
  <si>
    <t>DSO Benchmark</t>
  </si>
  <si>
    <t>E&amp;P typically very short payment cycles</t>
  </si>
  <si>
    <t>FORMULA (Mathematical Notation)</t>
  </si>
  <si>
    <t>INTERPRETATION &amp; BENCHMARK</t>
  </si>
  <si>
    <t>DEVON FY2025 WORKED EXAMPLE</t>
  </si>
  <si>
    <t>INCOME STATEMENT</t>
  </si>
  <si>
    <t>Rev = Σ(Oil + Gas + NGL + Derivatives + Marketing)</t>
  </si>
  <si>
    <t>Sum of all revenue streams per ASC 606/606-10. E&amp;P companies present gross marketing revenues.</t>
  </si>
  <si>
    <t>$8,906M + $842M + $1,475M + $402M + $5,563M = $17,188M</t>
  </si>
  <si>
    <t>Gross Profit (E&amp;P proxy)</t>
  </si>
  <si>
    <t>GP = OGN Revenue − Production Expenses</t>
  </si>
  <si>
    <t>Upstream margin after direct production costs (LOE, GP&amp;T, production taxes). Core operational efficiency.</t>
  </si>
  <si>
    <t>$11,223M − $3,567M = $7,656M (Field-Level Cash Margin per Devon disclosure)</t>
  </si>
  <si>
    <t>EBITDA</t>
  </si>
  <si>
    <t>EBITDA = Net Earnings + Tax + Net Interest + DD&amp;A + Impairments</t>
  </si>
  <si>
    <t>Cash earnings proxy. Adds back non-cash and financing items. Standard comparability metric.</t>
  </si>
  <si>
    <t>$2,681M + $785M + $455M + $3,595M + $254M = $7,770M (approx.)</t>
  </si>
  <si>
    <t>EBITDAX = EBITDA + Exploration + Non-cash Derivatives + Other adj.</t>
  </si>
  <si>
    <t>Devon's preferred metric. Removes exploration volatility and derivative mark-to-market swings.</t>
  </si>
  <si>
    <t>$7,413M (per 10-K p.90 reconciliation — verified)</t>
  </si>
  <si>
    <t>Operating Margin</t>
  </si>
  <si>
    <t>OM% = EBT ÷ Total Revenue × 100</t>
  </si>
  <si>
    <t>Pre-tax profitability of all operations including marketing. Higher = better capital discipline.</t>
  </si>
  <si>
    <t>$3,466M ÷ $17,188M = 20.2%</t>
  </si>
  <si>
    <t>NPM% = Net Earnings ÷ Total Revenue × 100</t>
  </si>
  <si>
    <t>Bottom-line profitability. Benchmark: &gt;12% for premium E&amp;P operators.</t>
  </si>
  <si>
    <t>$2,681M ÷ $17,188M = 15.6%</t>
  </si>
  <si>
    <t>EPS (Basic)</t>
  </si>
  <si>
    <t>EPS_basic = Net Earnings attr. Devon ÷ Weighted Avg Basic Shares</t>
  </si>
  <si>
    <t>Profit per common share. Devon uses treasury stock method. Declining share count boosts EPS.</t>
  </si>
  <si>
    <t>$2,642M ÷ 632M shares = $4.18 per share</t>
  </si>
  <si>
    <t>EPS (Diluted)</t>
  </si>
  <si>
    <t>EPS_diluted = Net Earnings attr. Devon ÷ (Basic + Dilutive instruments)</t>
  </si>
  <si>
    <t>Accounts for dilutive RSUs, PSUs, stock options outstanding.</t>
  </si>
  <si>
    <t>$2,642M ÷ 633M shares = $4.17 per share</t>
  </si>
  <si>
    <t>YoY Growth %</t>
  </si>
  <si>
    <t>g = (Current Period − Prior Period) ÷ |Prior Period| × 100</t>
  </si>
  <si>
    <t>Year-over-year percentage change. ABS(prior) handles negative base year correctly.</t>
  </si>
  <si>
    <t>Revenue: ($17,188M − $15,940M) ÷ $15,940M = +7.8% FY2025</t>
  </si>
  <si>
    <t>CAGR</t>
  </si>
  <si>
    <t>CAGR = (End Value ÷ Start Value)^(1/n) − 1</t>
  </si>
  <si>
    <t>Compound Annual Growth Rate. Smooths multi-year growth; 2-year CAGR here (n=2).</t>
  </si>
  <si>
    <t>Revenue: ($17,188M/$15,258M)^(1/2) − 1 = +6.1% (FY2023→FY2025)</t>
  </si>
  <si>
    <t>BALANCE SHEET</t>
  </si>
  <si>
    <t>Accounting Equation</t>
  </si>
  <si>
    <t>Assets = Liabilities + Stockholders' Equity</t>
  </si>
  <si>
    <t>Fundamental identity. MUST always hold within ±$1M rounding. Checked by model balance check formula.</t>
  </si>
  <si>
    <t>$31,599M = $16,071M + $15,528M ✅ BALANCED</t>
  </si>
  <si>
    <t>Net Working Capital</t>
  </si>
  <si>
    <t>NWC = Current Assets − Current Liabilities</t>
  </si>
  <si>
    <t>Short-term liquidity buffer. Negative NWC common for cash-generative E&amp;Ps funded by OCF not WC.</t>
  </si>
  <si>
    <t>$4,006M − $4,086M = −$80M (negative; offset by $6.7B annual OCF)</t>
  </si>
  <si>
    <t>Net Debt</t>
  </si>
  <si>
    <t>Net Debt = Total Debt − Cash &amp; Equivalents</t>
  </si>
  <si>
    <t>True financial indebtedness. Companies with large cash can have low net debt vs. gross debt.</t>
  </si>
  <si>
    <t>($7,391M + $998M) − $1,434M = $6,955M</t>
  </si>
  <si>
    <t>Book Value Per Share</t>
  </si>
  <si>
    <t>BVPS = Total Equity attr. Devon ÷ Shares Outstanding</t>
  </si>
  <si>
    <t>Net asset value per share. Declining if buybacks exceed retained earnings growth.</t>
  </si>
  <si>
    <t>$15,528M ÷ 620M shares = $25.04 per share</t>
  </si>
  <si>
    <t>LIQUIDITY RATIOS</t>
  </si>
  <si>
    <t>CR = Current Assets ÷ Current Liabilities</t>
  </si>
  <si>
    <t>Benchmark: &gt;1.25x for E&amp;P. Devon at 0.98x — technically below 1.0x but offset by $6.7B annual OCF.</t>
  </si>
  <si>
    <t>$4,006M ÷ $4,086M = 0.98x ⚠</t>
  </si>
  <si>
    <t>Quick Ratio</t>
  </si>
  <si>
    <t>QR = (Cash + Accounts Receivable) ÷ Current Liabilities</t>
  </si>
  <si>
    <t>Excludes inventory; more conservative. &gt;1.0x = strong for immediate obligations coverage.</t>
  </si>
  <si>
    <t>($1,434M + $1,792M) ÷ $4,086M = 0.79x — low but manageable</t>
  </si>
  <si>
    <t>Cash Ratio = Cash ÷ Current Liabilities</t>
  </si>
  <si>
    <t>Most conservative. Even at 0.35x, Devon's daily OCF of ~$18M covers any current obligation quickly.</t>
  </si>
  <si>
    <t>$1,434M ÷ $4,086M = 0.35x</t>
  </si>
  <si>
    <t>OCF Ratio</t>
  </si>
  <si>
    <t>OCF Ratio = Operating CF ÷ Current Liabilities</t>
  </si>
  <si>
    <t>Best cash-based liquidity test for capital-intensive businesses. Devon: very strong.</t>
  </si>
  <si>
    <t>$6,711M ÷ $4,086M = 1.64x ✅</t>
  </si>
  <si>
    <t>PROFITABILITY RATIOS</t>
  </si>
  <si>
    <t>ROA = Net Earnings ÷ Average Total Assets</t>
  </si>
  <si>
    <t>Efficiency of total asset base. Avg assets = (Opening + Closing) ÷ 2.</t>
  </si>
  <si>
    <t>$2,681M ÷ (($30,489M+$31,599M)/2) = 8.6% ✅</t>
  </si>
  <si>
    <t>ROE = Net Earnings attr. Devon ÷ Avg Devon Equity</t>
  </si>
  <si>
    <t>Returns to common shareholders. DuPont: Margin × Turnover × Leverage.</t>
  </si>
  <si>
    <t>$2,642M ÷ (($14,496M+$15,528M)/2) = 17.6% ✅</t>
  </si>
  <si>
    <t>ROCE</t>
  </si>
  <si>
    <t>ROCE = EBT ÷ (Total Assets − Current Liabilities)</t>
  </si>
  <si>
    <t>Return on all long-term capital. Benchmark: &gt;12% for large E&amp;P.</t>
  </si>
  <si>
    <t>$3,466M ÷ ($31,599M−$4,086M) = 12.6% ✅</t>
  </si>
  <si>
    <t>DuPont ROE Decomposition</t>
  </si>
  <si>
    <t>ROE = Net Margin × Asset Turnover × Equity Multiplier</t>
  </si>
  <si>
    <t>Three-way decomposition: (1) profitability, (2) efficiency, (3) leverage. Identifies source of ROE.</t>
  </si>
  <si>
    <t>15.6% × 0.56x × 2.03x = 17.6% (margin-driven, not leverage)</t>
  </si>
  <si>
    <t>LEVERAGE RATIOS</t>
  </si>
  <si>
    <t>Debt-to-Equity</t>
  </si>
  <si>
    <t>D/E = Total Debt ÷ Total Equity</t>
  </si>
  <si>
    <t>Higher = more financial risk. Large E&amp;Ps typically &lt;1.0x. Devon: comfortable.</t>
  </si>
  <si>
    <t>$8,389M ÷ $15,528M = 0.54x ✅</t>
  </si>
  <si>
    <t>ND/EBITDAX = (Total Debt − Cash) ÷ EBITDAX</t>
  </si>
  <si>
    <t>Primary E&amp;P credit metric. Investment grade target: &lt;1.5x. Devon approaching BBB+ territory.</t>
  </si>
  <si>
    <t>$6,955M ÷ $7,413M = 0.94x ✅ (below 1.0x)</t>
  </si>
  <si>
    <t>Interest Coverage Ratio</t>
  </si>
  <si>
    <t>ICR = (EBT + Financing Costs) ÷ Financing Costs</t>
  </si>
  <si>
    <t>Earnings available to service interest. &gt;5x = safe; Devon comfortably above.</t>
  </si>
  <si>
    <t>($3,466M + $455M) ÷ $455M = 8.6x ✅</t>
  </si>
  <si>
    <t>Solvency Ratio</t>
  </si>
  <si>
    <t>Solvency = Total Equity ÷ Total Assets</t>
  </si>
  <si>
    <t>Proportion of total assets funded by equity. Rising = financially de-risking.</t>
  </si>
  <si>
    <t>$15,528M ÷ $31,599M = 49.1% ✅</t>
  </si>
  <si>
    <t>EFFICIENCY RATIOS</t>
  </si>
  <si>
    <t>Days Sales Outstanding</t>
  </si>
  <si>
    <t>DSO = Accounts Receivable ÷ (OGN Revenue ÷ 365)</t>
  </si>
  <si>
    <t>Collection period. E&amp;P norm: &lt;30 days (monthly billing). Devon above average but improving.</t>
  </si>
  <si>
    <t>$1,792M ÷ ($11,223M ÷ 365) = 58.3 days ⚠</t>
  </si>
  <si>
    <t>Days Payable Outstanding</t>
  </si>
  <si>
    <t>DPO = Accounts Payable ÷ (Production Expenses ÷ 365)</t>
  </si>
  <si>
    <t>Payment period to suppliers. Higher = better cash flow management; watch supplier relationships.</t>
  </si>
  <si>
    <t>$790M ÷ ($3,567M ÷ 365) = 80.8 days ✅</t>
  </si>
  <si>
    <t>AT = Total Revenue ÷ Average Total Assets</t>
  </si>
  <si>
    <t>Revenue generated per $1 of assets. E&amp;P capital-intensive norm: 0.4–0.7x.</t>
  </si>
  <si>
    <t>$17,188M ÷ $31,044M avg = 0.55x ✅</t>
  </si>
  <si>
    <t>DD&amp;A Per BOE (approx.)</t>
  </si>
  <si>
    <t>DD&amp;A/Boe = DD&amp;A ÷ (Daily Production × 365)</t>
  </si>
  <si>
    <t>Unit depletion cost; key cost metric for E&amp;P. Lower = more reserves coverage remaining.</t>
  </si>
  <si>
    <t>$3,595M ÷ (~266 MBoe/d × 365) = ~$37/Boe</t>
  </si>
  <si>
    <t>CASH FLOW RATIOS</t>
  </si>
  <si>
    <t>Free Cash Flow</t>
  </si>
  <si>
    <t>FCF = Operating Cash Flow − Capital Expenditures (organic)</t>
  </si>
  <si>
    <t>Primary value creation metric. Must fund dividends, buybacks, debt service without external capital.</t>
  </si>
  <si>
    <t>$6,711M − $3,592M = $3,119M FCF ✅</t>
  </si>
  <si>
    <t>FCF Yield</t>
  </si>
  <si>
    <t>FCF Yield = FCF ÷ Market Capitalization</t>
  </si>
  <si>
    <t>Investor return. &gt;5% = attractive. Devon: $3,119M ÷ $19.7B mkt cap ≈ 15.8% yield ✅</t>
  </si>
  <si>
    <t>$3,119M ÷ ~$19,700M ≈ 15.8% FCF yield (very attractive)</t>
  </si>
  <si>
    <t>Cash Conversion Ratio</t>
  </si>
  <si>
    <t>CCR = Operating CF ÷ Net Earnings</t>
  </si>
  <si>
    <t>Earnings quality test. &gt;1.0x = earnings backed by real cash. Devon: exceptional.</t>
  </si>
  <si>
    <t>$6,711M ÷ $2,681M = 2.50x ✅ (high D&amp;A adds back)</t>
  </si>
  <si>
    <t>Reinvestment Rate</t>
  </si>
  <si>
    <t>RR = CapEx ÷ (Net Earnings + DD&amp;A)</t>
  </si>
  <si>
    <t>% of earnings+D&amp;A reinvested in the business. &lt;100% = value creator (surplus FCF generated).</t>
  </si>
  <si>
    <t>$3,592M ÷ ($2,681M + $3,595M) = 57.2% ✅</t>
  </si>
  <si>
    <t>Dividend Coverage</t>
  </si>
  <si>
    <t>Div Cov = Operating CF ÷ Dividends Paid</t>
  </si>
  <si>
    <t>Times dividends are covered by operating cash flow. &gt;3x = safe and sustainable.</t>
  </si>
  <si>
    <t>$6,711M ÷ $619M = 10.8x ✅ (dividend very well covered)</t>
  </si>
  <si>
    <t>DEVON ENERGY CORPORATION (THREE STATEMENT FINANCIAL ANALYSIS)</t>
  </si>
  <si>
    <t xml:space="preserve">US Dollars ($) | Amounts in $Millions </t>
  </si>
  <si>
    <t>Consolidated Balance Sheets: Assets, Liabilities &amp; Equity</t>
  </si>
  <si>
    <t>Consolidated Statements of Cash Flows: Operating | Investing | Financing</t>
  </si>
  <si>
    <t>Vertical (Common-Size) Analysis: IS as % Revenue | BS as % Total Assets</t>
  </si>
  <si>
    <t>COLOR CODING STANDARD (FOR REPRODUCTION ONLY)</t>
  </si>
  <si>
    <t>Hardcoded inputs: change these to update the model</t>
  </si>
  <si>
    <t>Formulas and calculations: do not edit</t>
  </si>
  <si>
    <t>Error checks: must show ✅ (green) for model integrity</t>
  </si>
  <si>
    <t>© Owosuyi, Bamidele Tosin | Quantitative Economist, Finance &amp; Investment Analyst  | +234 916 611 2619 · bamidele.owosuyi@yahoo.com · linkedin.com/in/bamidele-owosuyi · github.com/bamideleowosuyi</t>
  </si>
  <si>
    <t>KEY RATIO SCORECARD (FY2025 vs BENCHMARK)</t>
  </si>
  <si>
    <t>RATIONALE:  Strong FCF ($3.1B organic), peer-leading EBITDAX margin (43.1%), and Net Debt/EBITDAX below 1.0x (0.94x) argue for quality. Valuation discount (EV/EBITDAX 3.7x vs 5–7x peers) provides significant margin of safety. Key risks: declining net earnings trajectory, Coterra merger integration, and commodity price sensitivity. Long-term catalysts: oil price recovery, post-merger scale benefits, continued buybacks. Rating: 3.5 / 5.0  |  FOR ANALYTICAL USE ONLY</t>
  </si>
  <si>
    <t>© Owosuyi, Bamidele Tosin | Quantitative Economist, Finance &amp; Investment Analyst | +234 916 611 2619 · bamidele.owosuyi@yahoo.com · linkedin.com/in/bamidele-owosuyi · github.com/bamideleowosuyi</t>
  </si>
  <si>
    <t>DEVON ENERGY CORPORATION (CONSOLIDATED STATEMENTS OF COMPREHENSIVE EARNINGS)</t>
  </si>
  <si>
    <t>DEVON ENERGY CORPORATION )CONSOLIDATED BALANCE SHEETS)</t>
  </si>
  <si>
    <t>© Owosuyi, Bamidele Tosin | Quantitative Economist, Financie &amp; Investment Analyst | +234 916 611 2619 · bamidele.owosuyi@yahoo.com · linkedin.com/in/bamidele-owosuyi · github.com/bamideleowosuyi</t>
  </si>
  <si>
    <t>DEVON ENERGY CORPORATION (CONSOLIDATED STATEMENTS OF CASH FLOWS)</t>
  </si>
  <si>
    <t>DEVON ENERGY CORPORATION (COMPREHENSIVE FINANCIAL RATIO ANALYSIS)</t>
  </si>
  <si>
    <t>LEVERAGE &amp; SOLVENCY RATIOS</t>
  </si>
  <si>
    <t xml:space="preserve">LIQUIDITY RATIOS </t>
  </si>
  <si>
    <t>RATIONALE:  Devon Energy demonstrates exceptional free cash flow generation ($3.1B FCF in FY2025), peer-leading EBITDAX margins (43.1%), and a rapidly strengthening balance sheet (Net Debt/EBITDAX 0.94x, which is below the critical 1.0x threshold). The stock trades at a deep discount to US E&amp;P peers on EV/EBITDAX (~3.7x vs. sector 5–7x), suggesting the market has overpriced commodity and integration risk. 
KEY POSITIVES:  (1) OCF self-funds CapEx with $3.1B remaining for shareholders; (2) Share buybacks reducing diluted share count consistently; (3) Balance sheet strength enables Coterra merger without compromising financial flexibility; (4) Low-cost Delaware Basin acreage provides competitive cost structure. 
KEY CONCERNS:  (1) Net earnings declining 3-year trend (commodity price driven, not operational); (2) Coterra merger creates near-term integration uncertainty and elevated leverage; (3) Variable dividend structure means income investors face yield volatility; (4) Technical current ratio &lt;1.0x (negative NWC), which is manageable given OCF strength but a watch item. 
RECOMMENDED ACTION:  HOLD existing positions; ACCUMULATE on dips below $30/share (below 3.0x EV/EBITDAX). Long-term catalysts: successful Coterra integration (2026–2027), oil price recovery above $75/bbl, and continued debt reduction toward $7B target.  |  NOTE: THIS DECISION IS ANALYTICAL/PORTFOLIO USE ONLY.</t>
  </si>
  <si>
    <t>DEVON ENERGY: COMMON-SIZE (VERTICAL) ANALYSIS</t>
  </si>
  <si>
    <t>INCOME STATEMENT AS % OF TOTAL REVENUE</t>
  </si>
  <si>
    <t>BALANCE SHEET AS % OF TOTAL ASSETS</t>
  </si>
  <si>
    <t>SCALE &amp; SIZE</t>
  </si>
  <si>
    <t>PEER COMPARISON &amp; SECTOR BENCHMARKING (FY2025 DATA)</t>
  </si>
  <si>
    <t>PROFITABILITY</t>
  </si>
  <si>
    <t>LIQUIDITY &amp; LEVERAGE</t>
  </si>
  <si>
    <t>CASH FLOW</t>
  </si>
  <si>
    <t>VALUATION</t>
  </si>
  <si>
    <t>PEER SUMMARY: Devon ranks 🥇 on valuation (cheapest EV/EBITDAX 3.7x), cash conversion, and shareholder return potential. Devon lags on leverage (Net Debt/EBITDAX 0.94x vs 0.12x–0.48x for peers) and current ratio (&lt;1.0x). The valuation discount compensates for near-term leverage headwinds, and thus suggesting attractive risk/reward for long-term investors.</t>
  </si>
  <si>
    <t>Growing share, but neutral to profitability</t>
  </si>
  <si>
    <t>MATHEMATICAL FORMULA REFERENCE (FULL DERIVATION WITH DEVON ENERGY FY2025 WORKED EXAMPLES)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</si>
</sst>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;&quot;($&quot;#,##0\);\-"/>
    <numFmt numFmtId="165" formatCode="0.0%;\(0.0%\);\-"/>
    <numFmt numFmtId="166" formatCode="\$#,##0.00"/>
    <numFmt numFmtId="167" formatCode="#,##0.0"/>
    <numFmt numFmtId="168" formatCode="0.00\x"/>
    <numFmt numFmtId="169" formatCode="\$#,##0;&quot;($&quot;#,##0\)"/>
    <numFmt numFmtId="170" formatCode="0.0"/>
    <numFmt numFmtId="171" formatCode="0.0\x"/>
    <numFmt numFmtId="172" formatCode="0.0&quot;pp&quot;;\(0.0&quot;pp)&quot;"/>
    <numFmt numFmtId="173" formatCode="\$#,##0.0"/>
  </numFmts>
  <fonts count="7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2"/>
      <color rgb="FF1F3864"/>
      <name val="Arial"/>
      <charset val="1"/>
    </font>
    <font>
      <b/>
      <sz val="10"/>
      <color rgb="FF1F3864"/>
      <name val="Arial"/>
      <charset val="1"/>
    </font>
    <font>
      <sz val="10"/>
      <color rgb="FF37474F"/>
      <name val="Arial"/>
      <charset val="1"/>
    </font>
    <font>
      <b/>
      <sz val="11"/>
      <color rgb="FFFFFFFF"/>
      <name val="Arial"/>
      <charset val="1"/>
    </font>
    <font>
      <b/>
      <sz val="10"/>
      <color rgb="FF1565C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6400"/>
      <name val="Arial"/>
      <charset val="1"/>
    </font>
    <font>
      <b/>
      <sz val="10"/>
      <color rgb="FFFF0000"/>
      <name val="Arial"/>
      <charset val="1"/>
    </font>
    <font>
      <b/>
      <sz val="10"/>
      <color rgb="FFF9A825"/>
      <name val="Arial"/>
      <charset val="1"/>
    </font>
    <font>
      <b/>
      <i/>
      <sz val="9"/>
      <color rgb="FF1F3864"/>
      <name val="Arial"/>
      <charset val="1"/>
    </font>
    <font>
      <b/>
      <sz val="16"/>
      <color rgb="FFFFFFFF"/>
      <name val="Arial"/>
      <charset val="1"/>
    </font>
    <font>
      <i/>
      <sz val="11"/>
      <color rgb="FF4FC3F7"/>
      <name val="Arial"/>
      <charset val="1"/>
    </font>
    <font>
      <b/>
      <sz val="9"/>
      <color rgb="FF4FC3F7"/>
      <name val="Arial"/>
      <charset val="1"/>
    </font>
    <font>
      <b/>
      <sz val="9"/>
      <color rgb="FFF48FB1"/>
      <name val="Arial"/>
      <charset val="1"/>
    </font>
    <font>
      <b/>
      <sz val="9"/>
      <color rgb="FF80CBC4"/>
      <name val="Arial"/>
      <charset val="1"/>
    </font>
    <font>
      <b/>
      <sz val="9"/>
      <color rgb="FFA5D6A7"/>
      <name val="Arial"/>
      <charset val="1"/>
    </font>
    <font>
      <b/>
      <sz val="9"/>
      <color rgb="FFFFCC80"/>
      <name val="Arial"/>
      <charset val="1"/>
    </font>
    <font>
      <b/>
      <sz val="9"/>
      <color rgb="FFCE93D8"/>
      <name val="Arial"/>
      <charset val="1"/>
    </font>
    <font>
      <b/>
      <sz val="18"/>
      <color rgb="FFFFFFFF"/>
      <name val="Arial"/>
      <charset val="1"/>
    </font>
    <font>
      <b/>
      <sz val="11"/>
      <color rgb="FFA5D6A7"/>
      <name val="Arial"/>
      <charset val="1"/>
    </font>
    <font>
      <b/>
      <sz val="11"/>
      <color rgb="FFEF9A9A"/>
      <name val="Arial"/>
      <charset val="1"/>
    </font>
    <font>
      <sz val="9"/>
      <color rgb="FFB0BEC5"/>
      <name val="Arial"/>
      <charset val="1"/>
    </font>
    <font>
      <b/>
      <sz val="8"/>
      <color rgb="FFFFFFFF"/>
      <name val="Arial"/>
      <charset val="1"/>
    </font>
    <font>
      <b/>
      <sz val="11"/>
      <color rgb="FFFFCC80"/>
      <name val="Arial"/>
      <charset val="1"/>
    </font>
    <font>
      <b/>
      <sz val="13"/>
      <color rgb="FFFFFFFF"/>
      <name val="Arial"/>
      <charset val="1"/>
    </font>
    <font>
      <sz val="10"/>
      <color rgb="FFCFD8DC"/>
      <name val="Arial"/>
      <charset val="1"/>
    </font>
    <font>
      <b/>
      <sz val="9"/>
      <color rgb="FFFFFFFF"/>
      <name val="Arial"/>
      <charset val="1"/>
    </font>
    <font>
      <b/>
      <sz val="9"/>
      <color rgb="FFCFD8DC"/>
      <name val="Arial"/>
      <charset val="1"/>
    </font>
    <font>
      <sz val="9"/>
      <color rgb="FF4FC3F7"/>
      <name val="Arial"/>
      <charset val="1"/>
    </font>
    <font>
      <sz val="9"/>
      <color rgb="FFA5D6A7"/>
      <name val="Arial"/>
      <charset val="1"/>
    </font>
    <font>
      <sz val="9"/>
      <color rgb="FFF9A825"/>
      <name val="Arial"/>
      <charset val="1"/>
    </font>
    <font>
      <sz val="9"/>
      <color rgb="FFEF9A9A"/>
      <name val="Arial"/>
      <charset val="1"/>
    </font>
    <font>
      <sz val="9"/>
      <color rgb="FFFFCC80"/>
      <name val="Arial"/>
      <charset val="1"/>
    </font>
    <font>
      <i/>
      <sz val="8"/>
      <color rgb="FF4FC3F7"/>
      <name val="Arial"/>
      <charset val="1"/>
    </font>
    <font>
      <i/>
      <sz val="10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546E7A"/>
      <name val="Arial"/>
      <charset val="1"/>
    </font>
    <font>
      <i/>
      <sz val="9"/>
      <color rgb="FF546E7A"/>
      <name val="Arial"/>
      <charset val="1"/>
    </font>
    <font>
      <i/>
      <sz val="8"/>
      <color rgb="FF546E7A"/>
      <name val="Arial"/>
      <charset val="1"/>
    </font>
    <font>
      <b/>
      <sz val="10"/>
      <color rgb="FF2E7D32"/>
      <name val="Arial"/>
      <charset val="1"/>
    </font>
    <font>
      <i/>
      <sz val="10"/>
      <color rgb="FF546E7A"/>
      <name val="Arial"/>
      <charset val="1"/>
    </font>
    <font>
      <b/>
      <sz val="10"/>
      <color rgb="FFE65100"/>
      <name val="Arial"/>
      <charset val="1"/>
    </font>
    <font>
      <b/>
      <sz val="9"/>
      <color rgb="FF2E7D32"/>
      <name val="Arial"/>
      <charset val="1"/>
    </font>
    <font>
      <b/>
      <sz val="9"/>
      <color rgb="FF1B5E20"/>
      <name val="Arial"/>
      <charset val="1"/>
    </font>
    <font>
      <b/>
      <sz val="9"/>
      <color rgb="FFE65100"/>
      <name val="Arial"/>
      <charset val="1"/>
    </font>
    <font>
      <b/>
      <sz val="9"/>
      <color rgb="FFB71C1C"/>
      <name val="Arial"/>
      <charset val="1"/>
    </font>
    <font>
      <b/>
      <sz val="9"/>
      <color rgb="FF856404"/>
      <name val="Arial"/>
      <charset val="1"/>
    </font>
    <font>
      <b/>
      <sz val="9"/>
      <color rgb="FF37474F"/>
      <name val="Arial"/>
      <charset val="1"/>
    </font>
    <font>
      <b/>
      <sz val="14"/>
      <color rgb="FFFFFFFF"/>
      <name val="Arial"/>
      <charset val="1"/>
    </font>
    <font>
      <b/>
      <sz val="10"/>
      <color rgb="FF546E7A"/>
      <name val="Arial"/>
      <charset val="1"/>
    </font>
    <font>
      <b/>
      <sz val="10"/>
      <color rgb="FFB71C1C"/>
      <name val="Arial"/>
      <charset val="1"/>
    </font>
    <font>
      <b/>
      <sz val="12"/>
      <color rgb="FFFFFFFF"/>
      <name val="Arial"/>
      <charset val="1"/>
    </font>
    <font>
      <sz val="10"/>
      <color rgb="FF2E7D32"/>
      <name val="Arial"/>
      <charset val="1"/>
    </font>
    <font>
      <sz val="12"/>
      <color rgb="FFFFFF00"/>
      <name val="Arial"/>
      <family val="2"/>
    </font>
    <font>
      <i/>
      <sz val="8"/>
      <color rgb="FF4FC3F7"/>
      <name val="Arial"/>
      <family val="2"/>
    </font>
    <font>
      <b/>
      <sz val="13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9"/>
      <color theme="0"/>
      <name val="Arial"/>
      <family val="2"/>
    </font>
    <font>
      <sz val="11"/>
      <color theme="0"/>
      <name val="Calibri"/>
      <family val="2"/>
      <charset val="1"/>
    </font>
    <font>
      <i/>
      <sz val="8"/>
      <color rgb="FF546E7A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b/>
      <i/>
      <sz val="9"/>
      <color rgb="FF546E7A"/>
      <name val="Arial"/>
      <family val="2"/>
    </font>
    <font>
      <b/>
      <sz val="12"/>
      <color rgb="FFFFFFF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BDD7EE"/>
        <bgColor rgb="FFCFD8DC"/>
      </patternFill>
    </fill>
    <fill>
      <patternFill patternType="solid">
        <fgColor rgb="FFEBF3FB"/>
        <bgColor rgb="FFECEFF1"/>
      </patternFill>
    </fill>
    <fill>
      <patternFill patternType="solid">
        <fgColor rgb="FFFFFFFF"/>
        <bgColor rgb="FFF9F9F9"/>
      </patternFill>
    </fill>
    <fill>
      <patternFill patternType="solid">
        <fgColor rgb="FF1565C0"/>
        <bgColor rgb="FF008080"/>
      </patternFill>
    </fill>
    <fill>
      <patternFill patternType="solid">
        <fgColor rgb="FF37474F"/>
        <bgColor rgb="FF2E4057"/>
      </patternFill>
    </fill>
    <fill>
      <patternFill patternType="solid">
        <fgColor rgb="FFECEFF1"/>
        <bgColor rgb="FFEBF3FB"/>
      </patternFill>
    </fill>
    <fill>
      <patternFill patternType="solid">
        <fgColor rgb="FFFFF8E1"/>
        <bgColor rgb="FFFFF3CD"/>
      </patternFill>
    </fill>
    <fill>
      <patternFill patternType="solid">
        <fgColor rgb="FF0D1B2A"/>
        <bgColor rgb="FF0D2137"/>
      </patternFill>
    </fill>
    <fill>
      <patternFill patternType="solid">
        <fgColor rgb="FF0D2137"/>
        <bgColor rgb="FF0D1B2A"/>
      </patternFill>
    </fill>
    <fill>
      <patternFill patternType="solid">
        <fgColor rgb="FF2E4057"/>
        <bgColor rgb="FF37474F"/>
      </patternFill>
    </fill>
    <fill>
      <patternFill patternType="solid">
        <fgColor rgb="FF1B5E20"/>
        <bgColor rgb="FF006400"/>
      </patternFill>
    </fill>
    <fill>
      <patternFill patternType="solid">
        <fgColor rgb="FF5D4037"/>
        <bgColor rgb="FF37474F"/>
      </patternFill>
    </fill>
    <fill>
      <patternFill patternType="solid">
        <fgColor rgb="FFE8F5E9"/>
        <bgColor rgb="FFECEFF1"/>
      </patternFill>
    </fill>
    <fill>
      <patternFill patternType="solid">
        <fgColor rgb="FF4A148C"/>
        <bgColor rgb="FF800080"/>
      </patternFill>
    </fill>
    <fill>
      <patternFill patternType="solid">
        <fgColor rgb="FFFFEBEE"/>
        <bgColor rgb="FFFFF8E1"/>
      </patternFill>
    </fill>
    <fill>
      <patternFill patternType="solid">
        <fgColor rgb="FFFFF3CD"/>
        <bgColor rgb="FFFFF8E1"/>
      </patternFill>
    </fill>
    <fill>
      <patternFill patternType="solid">
        <fgColor rgb="FFFF0000"/>
        <bgColor rgb="FFF9F9F9"/>
      </patternFill>
    </fill>
    <fill>
      <patternFill patternType="solid">
        <fgColor rgb="FF92D050"/>
        <bgColor rgb="FFF9F9F9"/>
      </patternFill>
    </fill>
    <fill>
      <patternFill patternType="solid">
        <fgColor rgb="FFFFFF00"/>
        <bgColor rgb="FFCFD8DC"/>
      </patternFill>
    </fill>
  </fills>
  <borders count="36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F9A825"/>
      </left>
      <right/>
      <top style="medium">
        <color rgb="FFF9A825"/>
      </top>
      <bottom style="medium">
        <color rgb="FFF9A825"/>
      </bottom>
      <diagonal/>
    </border>
    <border>
      <left style="medium">
        <color rgb="FF4FC3F7"/>
      </left>
      <right style="medium">
        <color rgb="FF4FC3F7"/>
      </right>
      <top style="medium">
        <color rgb="FF4FC3F7"/>
      </top>
      <bottom style="thin">
        <color rgb="FF4FC3F7"/>
      </bottom>
      <diagonal/>
    </border>
    <border>
      <left style="medium">
        <color rgb="FFF48FB1"/>
      </left>
      <right style="medium">
        <color rgb="FFF48FB1"/>
      </right>
      <top style="medium">
        <color rgb="FFF48FB1"/>
      </top>
      <bottom style="thin">
        <color rgb="FFF48FB1"/>
      </bottom>
      <diagonal/>
    </border>
    <border>
      <left style="medium">
        <color rgb="FF80CBC4"/>
      </left>
      <right style="medium">
        <color rgb="FF80CBC4"/>
      </right>
      <top style="medium">
        <color rgb="FF80CBC4"/>
      </top>
      <bottom style="thin">
        <color rgb="FF80CBC4"/>
      </bottom>
      <diagonal/>
    </border>
    <border>
      <left style="medium">
        <color rgb="FFA5D6A7"/>
      </left>
      <right style="medium">
        <color rgb="FFA5D6A7"/>
      </right>
      <top style="medium">
        <color rgb="FFA5D6A7"/>
      </top>
      <bottom style="thin">
        <color rgb="FFA5D6A7"/>
      </bottom>
      <diagonal/>
    </border>
    <border>
      <left style="medium">
        <color rgb="FFFFCC80"/>
      </left>
      <right style="medium">
        <color rgb="FFFFCC80"/>
      </right>
      <top style="medium">
        <color rgb="FFFFCC80"/>
      </top>
      <bottom style="thin">
        <color rgb="FFFFCC80"/>
      </bottom>
      <diagonal/>
    </border>
    <border>
      <left style="medium">
        <color rgb="FFCE93D8"/>
      </left>
      <right style="medium">
        <color rgb="FFCE93D8"/>
      </right>
      <top style="medium">
        <color rgb="FFCE93D8"/>
      </top>
      <bottom style="thin">
        <color rgb="FFCE93D8"/>
      </bottom>
      <diagonal/>
    </border>
    <border>
      <left style="medium">
        <color rgb="FF4FC3F7"/>
      </left>
      <right style="medium">
        <color rgb="FF4FC3F7"/>
      </right>
      <top style="thin">
        <color rgb="FF4FC3F7"/>
      </top>
      <bottom style="thin">
        <color rgb="FF4FC3F7"/>
      </bottom>
      <diagonal/>
    </border>
    <border>
      <left style="medium">
        <color rgb="FFF48FB1"/>
      </left>
      <right style="medium">
        <color rgb="FFF48FB1"/>
      </right>
      <top style="thin">
        <color rgb="FFF48FB1"/>
      </top>
      <bottom style="thin">
        <color rgb="FFF48FB1"/>
      </bottom>
      <diagonal/>
    </border>
    <border>
      <left style="medium">
        <color rgb="FF80CBC4"/>
      </left>
      <right style="medium">
        <color rgb="FF80CBC4"/>
      </right>
      <top style="thin">
        <color rgb="FF80CBC4"/>
      </top>
      <bottom style="thin">
        <color rgb="FF80CBC4"/>
      </bottom>
      <diagonal/>
    </border>
    <border>
      <left style="medium">
        <color rgb="FFA5D6A7"/>
      </left>
      <right style="medium">
        <color rgb="FFA5D6A7"/>
      </right>
      <top style="thin">
        <color rgb="FFA5D6A7"/>
      </top>
      <bottom style="thin">
        <color rgb="FFA5D6A7"/>
      </bottom>
      <diagonal/>
    </border>
    <border>
      <left style="medium">
        <color rgb="FFFFCC80"/>
      </left>
      <right style="medium">
        <color rgb="FFFFCC80"/>
      </right>
      <top style="thin">
        <color rgb="FFFFCC80"/>
      </top>
      <bottom style="thin">
        <color rgb="FFFFCC80"/>
      </bottom>
      <diagonal/>
    </border>
    <border>
      <left style="medium">
        <color rgb="FFCE93D8"/>
      </left>
      <right style="medium">
        <color rgb="FFCE93D8"/>
      </right>
      <top style="thin">
        <color rgb="FFCE93D8"/>
      </top>
      <bottom style="thin">
        <color rgb="FFCE93D8"/>
      </bottom>
      <diagonal/>
    </border>
    <border>
      <left style="medium">
        <color rgb="FF4FC3F7"/>
      </left>
      <right style="medium">
        <color rgb="FF4FC3F7"/>
      </right>
      <top style="thin">
        <color rgb="FF4FC3F7"/>
      </top>
      <bottom style="medium">
        <color rgb="FF4FC3F7"/>
      </bottom>
      <diagonal/>
    </border>
    <border>
      <left style="medium">
        <color rgb="FFF48FB1"/>
      </left>
      <right style="medium">
        <color rgb="FFF48FB1"/>
      </right>
      <top style="thin">
        <color rgb="FFF48FB1"/>
      </top>
      <bottom style="medium">
        <color rgb="FFF48FB1"/>
      </bottom>
      <diagonal/>
    </border>
    <border>
      <left style="medium">
        <color rgb="FF80CBC4"/>
      </left>
      <right style="medium">
        <color rgb="FF80CBC4"/>
      </right>
      <top style="thin">
        <color rgb="FF80CBC4"/>
      </top>
      <bottom style="medium">
        <color rgb="FF80CBC4"/>
      </bottom>
      <diagonal/>
    </border>
    <border>
      <left style="medium">
        <color rgb="FFA5D6A7"/>
      </left>
      <right style="medium">
        <color rgb="FFA5D6A7"/>
      </right>
      <top style="thin">
        <color rgb="FFA5D6A7"/>
      </top>
      <bottom style="medium">
        <color rgb="FFA5D6A7"/>
      </bottom>
      <diagonal/>
    </border>
    <border>
      <left style="medium">
        <color rgb="FFFFCC80"/>
      </left>
      <right style="medium">
        <color rgb="FFFFCC80"/>
      </right>
      <top style="thin">
        <color rgb="FFFFCC80"/>
      </top>
      <bottom style="medium">
        <color rgb="FFFFCC80"/>
      </bottom>
      <diagonal/>
    </border>
    <border>
      <left style="medium">
        <color rgb="FFCE93D8"/>
      </left>
      <right style="medium">
        <color rgb="FFCE93D8"/>
      </right>
      <top style="thin">
        <color rgb="FFCE93D8"/>
      </top>
      <bottom style="medium">
        <color rgb="FFCE93D8"/>
      </bottom>
      <diagonal/>
    </border>
    <border>
      <left/>
      <right/>
      <top/>
      <bottom style="thin">
        <color rgb="FF1A3A5C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1565C0"/>
      </left>
      <right/>
      <top style="medium">
        <color rgb="FF1565C0"/>
      </top>
      <bottom style="medium">
        <color rgb="FF1565C0"/>
      </bottom>
      <diagonal/>
    </border>
    <border>
      <left style="medium">
        <color rgb="FF4A148C"/>
      </left>
      <right/>
      <top style="medium">
        <color rgb="FF4A148C"/>
      </top>
      <bottom style="medium">
        <color rgb="FF4A148C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1565C0"/>
      </left>
      <right/>
      <top style="thin">
        <color rgb="FF1565C0"/>
      </top>
      <bottom style="thin">
        <color rgb="FF1565C0"/>
      </bottom>
      <diagonal/>
    </border>
    <border>
      <left style="medium">
        <color rgb="FFF9A825"/>
      </left>
      <right style="medium">
        <color rgb="FFF9A825"/>
      </right>
      <top style="medium">
        <color rgb="FFF9A825"/>
      </top>
      <bottom style="medium">
        <color rgb="FFF9A825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4" borderId="0" xfId="0" applyFill="1"/>
    <xf numFmtId="0" fontId="6" fillId="3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0" fillId="10" borderId="0" xfId="0" applyFill="1"/>
    <xf numFmtId="0" fontId="29" fillId="6" borderId="23" xfId="0" applyFont="1" applyFill="1" applyBorder="1" applyAlignment="1">
      <alignment horizontal="center" vertical="center" wrapText="1"/>
    </xf>
    <xf numFmtId="0" fontId="30" fillId="11" borderId="22" xfId="0" applyFont="1" applyFill="1" applyBorder="1" applyAlignment="1">
      <alignment horizontal="left" vertical="center"/>
    </xf>
    <xf numFmtId="0" fontId="32" fillId="11" borderId="22" xfId="0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0" fillId="10" borderId="22" xfId="0" applyFont="1" applyFill="1" applyBorder="1" applyAlignment="1">
      <alignment horizontal="left" vertical="center"/>
    </xf>
    <xf numFmtId="0" fontId="32" fillId="10" borderId="22" xfId="0" applyFont="1" applyFill="1" applyBorder="1" applyAlignment="1">
      <alignment horizontal="center" vertical="center"/>
    </xf>
    <xf numFmtId="0" fontId="33" fillId="10" borderId="22" xfId="0" applyFont="1" applyFill="1" applyBorder="1" applyAlignment="1">
      <alignment horizontal="center" vertical="center"/>
    </xf>
    <xf numFmtId="0" fontId="34" fillId="11" borderId="22" xfId="0" applyFont="1" applyFill="1" applyBorder="1" applyAlignment="1">
      <alignment horizontal="center" vertical="center"/>
    </xf>
    <xf numFmtId="0" fontId="35" fillId="10" borderId="22" xfId="0" applyFont="1" applyFill="1" applyBorder="1" applyAlignment="1">
      <alignment horizontal="center" vertical="center"/>
    </xf>
    <xf numFmtId="0" fontId="38" fillId="12" borderId="24" xfId="0" applyFont="1" applyFill="1" applyBorder="1" applyAlignment="1">
      <alignment horizontal="center" vertical="center" wrapText="1"/>
    </xf>
    <xf numFmtId="0" fontId="39" fillId="5" borderId="26" xfId="0" applyFont="1" applyFill="1" applyBorder="1" applyAlignment="1">
      <alignment horizontal="left" vertical="center"/>
    </xf>
    <xf numFmtId="164" fontId="40" fillId="5" borderId="26" xfId="0" applyNumberFormat="1" applyFont="1" applyFill="1" applyBorder="1" applyAlignment="1">
      <alignment horizontal="right" vertical="center"/>
    </xf>
    <xf numFmtId="165" fontId="41" fillId="5" borderId="26" xfId="0" applyNumberFormat="1" applyFont="1" applyFill="1" applyBorder="1" applyAlignment="1">
      <alignment horizontal="right" vertical="center"/>
    </xf>
    <xf numFmtId="165" fontId="4" fillId="5" borderId="26" xfId="0" applyNumberFormat="1" applyFont="1" applyFill="1" applyBorder="1" applyAlignment="1">
      <alignment horizontal="right" vertical="center"/>
    </xf>
    <xf numFmtId="0" fontId="42" fillId="8" borderId="26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/>
    </xf>
    <xf numFmtId="164" fontId="3" fillId="3" borderId="26" xfId="0" applyNumberFormat="1" applyFont="1" applyFill="1" applyBorder="1" applyAlignment="1">
      <alignment horizontal="right" vertical="center"/>
    </xf>
    <xf numFmtId="165" fontId="41" fillId="3" borderId="26" xfId="0" applyNumberFormat="1" applyFont="1" applyFill="1" applyBorder="1" applyAlignment="1">
      <alignment horizontal="right" vertical="center"/>
    </xf>
    <xf numFmtId="165" fontId="4" fillId="3" borderId="26" xfId="0" applyNumberFormat="1" applyFont="1" applyFill="1" applyBorder="1" applyAlignment="1">
      <alignment horizontal="right" vertical="center"/>
    </xf>
    <xf numFmtId="164" fontId="39" fillId="5" borderId="26" xfId="0" applyNumberFormat="1" applyFont="1" applyFill="1" applyBorder="1" applyAlignment="1">
      <alignment horizontal="right" vertical="center"/>
    </xf>
    <xf numFmtId="166" fontId="40" fillId="5" borderId="26" xfId="0" applyNumberFormat="1" applyFont="1" applyFill="1" applyBorder="1" applyAlignment="1">
      <alignment horizontal="right" vertical="center"/>
    </xf>
    <xf numFmtId="0" fontId="42" fillId="8" borderId="26" xfId="0" applyFont="1" applyFill="1" applyBorder="1" applyAlignment="1">
      <alignment horizontal="left" vertical="center"/>
    </xf>
    <xf numFmtId="167" fontId="40" fillId="5" borderId="26" xfId="0" applyNumberFormat="1" applyFont="1" applyFill="1" applyBorder="1" applyAlignment="1">
      <alignment horizontal="right" vertical="center"/>
    </xf>
    <xf numFmtId="164" fontId="7" fillId="3" borderId="26" xfId="0" applyNumberFormat="1" applyFont="1" applyFill="1" applyBorder="1" applyAlignment="1">
      <alignment horizontal="right" vertical="center"/>
    </xf>
    <xf numFmtId="0" fontId="44" fillId="15" borderId="28" xfId="0" applyFont="1" applyFill="1" applyBorder="1" applyAlignment="1">
      <alignment horizontal="center" vertical="center"/>
    </xf>
    <xf numFmtId="168" fontId="4" fillId="5" borderId="26" xfId="0" applyNumberFormat="1" applyFont="1" applyFill="1" applyBorder="1" applyAlignment="1">
      <alignment horizontal="right" vertical="center"/>
    </xf>
    <xf numFmtId="168" fontId="3" fillId="3" borderId="26" xfId="0" applyNumberFormat="1" applyFont="1" applyFill="1" applyBorder="1" applyAlignment="1">
      <alignment horizontal="right" vertical="center"/>
    </xf>
    <xf numFmtId="0" fontId="45" fillId="8" borderId="26" xfId="0" applyFont="1" applyFill="1" applyBorder="1" applyAlignment="1">
      <alignment horizontal="center" vertical="center"/>
    </xf>
    <xf numFmtId="0" fontId="46" fillId="9" borderId="26" xfId="0" applyFont="1" applyFill="1" applyBorder="1" applyAlignment="1">
      <alignment horizontal="center" vertical="center"/>
    </xf>
    <xf numFmtId="0" fontId="44" fillId="15" borderId="26" xfId="0" applyFont="1" applyFill="1" applyBorder="1" applyAlignment="1">
      <alignment horizontal="center" vertical="center"/>
    </xf>
    <xf numFmtId="169" fontId="4" fillId="5" borderId="26" xfId="0" applyNumberFormat="1" applyFont="1" applyFill="1" applyBorder="1" applyAlignment="1">
      <alignment horizontal="right" vertical="center"/>
    </xf>
    <xf numFmtId="169" fontId="3" fillId="3" borderId="26" xfId="0" applyNumberFormat="1" applyFont="1" applyFill="1" applyBorder="1" applyAlignment="1">
      <alignment horizontal="right" vertical="center"/>
    </xf>
    <xf numFmtId="165" fontId="3" fillId="3" borderId="26" xfId="0" applyNumberFormat="1" applyFont="1" applyFill="1" applyBorder="1" applyAlignment="1">
      <alignment horizontal="right" vertical="center"/>
    </xf>
    <xf numFmtId="170" fontId="4" fillId="5" borderId="26" xfId="0" applyNumberFormat="1" applyFont="1" applyFill="1" applyBorder="1" applyAlignment="1">
      <alignment horizontal="right" vertical="center"/>
    </xf>
    <xf numFmtId="170" fontId="3" fillId="3" borderId="26" xfId="0" applyNumberFormat="1" applyFont="1" applyFill="1" applyBorder="1" applyAlignment="1">
      <alignment horizontal="right" vertical="center"/>
    </xf>
    <xf numFmtId="171" fontId="4" fillId="5" borderId="26" xfId="0" applyNumberFormat="1" applyFont="1" applyFill="1" applyBorder="1" applyAlignment="1">
      <alignment horizontal="right" vertical="center"/>
    </xf>
    <xf numFmtId="171" fontId="3" fillId="3" borderId="26" xfId="0" applyNumberFormat="1" applyFont="1" applyFill="1" applyBorder="1" applyAlignment="1">
      <alignment horizontal="right" vertical="center"/>
    </xf>
    <xf numFmtId="0" fontId="38" fillId="2" borderId="32" xfId="0" applyFont="1" applyFill="1" applyBorder="1" applyAlignment="1">
      <alignment horizontal="center" vertical="center"/>
    </xf>
    <xf numFmtId="0" fontId="47" fillId="15" borderId="26" xfId="0" applyFont="1" applyFill="1" applyBorder="1" applyAlignment="1">
      <alignment horizontal="center" vertical="center"/>
    </xf>
    <xf numFmtId="0" fontId="48" fillId="15" borderId="26" xfId="0" applyFont="1" applyFill="1" applyBorder="1" applyAlignment="1">
      <alignment horizontal="center" vertical="center"/>
    </xf>
    <xf numFmtId="0" fontId="49" fillId="9" borderId="26" xfId="0" applyFont="1" applyFill="1" applyBorder="1" applyAlignment="1">
      <alignment horizontal="center" vertical="center"/>
    </xf>
    <xf numFmtId="0" fontId="50" fillId="17" borderId="26" xfId="0" applyFont="1" applyFill="1" applyBorder="1" applyAlignment="1">
      <alignment horizontal="center" vertical="center"/>
    </xf>
    <xf numFmtId="0" fontId="51" fillId="18" borderId="26" xfId="0" applyFont="1" applyFill="1" applyBorder="1" applyAlignment="1">
      <alignment horizontal="center" vertical="center"/>
    </xf>
    <xf numFmtId="0" fontId="52" fillId="8" borderId="26" xfId="0" applyFont="1" applyFill="1" applyBorder="1" applyAlignment="1">
      <alignment horizontal="center" vertical="center"/>
    </xf>
    <xf numFmtId="165" fontId="39" fillId="5" borderId="26" xfId="0" applyNumberFormat="1" applyFont="1" applyFill="1" applyBorder="1" applyAlignment="1">
      <alignment horizontal="right" vertical="center"/>
    </xf>
    <xf numFmtId="172" fontId="41" fillId="5" borderId="26" xfId="0" applyNumberFormat="1" applyFont="1" applyFill="1" applyBorder="1" applyAlignment="1">
      <alignment horizontal="right" vertical="center"/>
    </xf>
    <xf numFmtId="172" fontId="41" fillId="3" borderId="26" xfId="0" applyNumberFormat="1" applyFont="1" applyFill="1" applyBorder="1" applyAlignment="1">
      <alignment horizontal="right" vertical="center"/>
    </xf>
    <xf numFmtId="0" fontId="38" fillId="2" borderId="32" xfId="0" applyFont="1" applyFill="1" applyBorder="1" applyAlignment="1">
      <alignment horizontal="center" vertical="center" wrapText="1"/>
    </xf>
    <xf numFmtId="0" fontId="38" fillId="6" borderId="32" xfId="0" applyFont="1" applyFill="1" applyBorder="1" applyAlignment="1">
      <alignment horizontal="center" vertical="center" wrapText="1"/>
    </xf>
    <xf numFmtId="173" fontId="3" fillId="3" borderId="26" xfId="0" applyNumberFormat="1" applyFont="1" applyFill="1" applyBorder="1" applyAlignment="1">
      <alignment horizontal="right" vertical="center"/>
    </xf>
    <xf numFmtId="173" fontId="4" fillId="5" borderId="26" xfId="0" applyNumberFormat="1" applyFont="1" applyFill="1" applyBorder="1" applyAlignment="1">
      <alignment horizontal="right" vertical="center"/>
    </xf>
    <xf numFmtId="173" fontId="4" fillId="8" borderId="26" xfId="0" applyNumberFormat="1" applyFont="1" applyFill="1" applyBorder="1" applyAlignment="1">
      <alignment horizontal="right" vertical="center"/>
    </xf>
    <xf numFmtId="0" fontId="54" fillId="8" borderId="26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left" vertical="center"/>
    </xf>
    <xf numFmtId="165" fontId="4" fillId="8" borderId="26" xfId="0" applyNumberFormat="1" applyFont="1" applyFill="1" applyBorder="1" applyAlignment="1">
      <alignment horizontal="right" vertical="center"/>
    </xf>
    <xf numFmtId="168" fontId="4" fillId="8" borderId="26" xfId="0" applyNumberFormat="1" applyFont="1" applyFill="1" applyBorder="1" applyAlignment="1">
      <alignment horizontal="right" vertical="center"/>
    </xf>
    <xf numFmtId="0" fontId="55" fillId="17" borderId="26" xfId="0" applyFont="1" applyFill="1" applyBorder="1" applyAlignment="1">
      <alignment horizontal="center" vertical="center"/>
    </xf>
    <xf numFmtId="171" fontId="4" fillId="8" borderId="26" xfId="0" applyNumberFormat="1" applyFont="1" applyFill="1" applyBorder="1" applyAlignment="1">
      <alignment horizontal="right" vertical="center"/>
    </xf>
    <xf numFmtId="0" fontId="4" fillId="5" borderId="26" xfId="0" applyFont="1" applyFill="1" applyBorder="1" applyAlignment="1">
      <alignment horizontal="left" vertical="center"/>
    </xf>
    <xf numFmtId="0" fontId="7" fillId="9" borderId="3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left" vertical="top" wrapText="1"/>
    </xf>
    <xf numFmtId="0" fontId="39" fillId="5" borderId="26" xfId="0" applyFont="1" applyFill="1" applyBorder="1" applyAlignment="1">
      <alignment horizontal="left" vertical="top" wrapText="1"/>
    </xf>
    <xf numFmtId="0" fontId="4" fillId="8" borderId="26" xfId="0" applyFont="1" applyFill="1" applyBorder="1" applyAlignment="1">
      <alignment horizontal="left" vertical="top" wrapText="1"/>
    </xf>
    <xf numFmtId="0" fontId="57" fillId="15" borderId="26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 wrapText="1"/>
    </xf>
    <xf numFmtId="0" fontId="0" fillId="11" borderId="22" xfId="0" applyFill="1" applyBorder="1"/>
    <xf numFmtId="0" fontId="27" fillId="6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22" fillId="11" borderId="16" xfId="0" applyFont="1" applyFill="1" applyBorder="1" applyAlignment="1">
      <alignment horizontal="center" vertical="center"/>
    </xf>
    <xf numFmtId="0" fontId="23" fillId="11" borderId="17" xfId="0" applyFont="1" applyFill="1" applyBorder="1" applyAlignment="1">
      <alignment horizontal="center" vertical="center"/>
    </xf>
    <xf numFmtId="0" fontId="23" fillId="11" borderId="18" xfId="0" applyFont="1" applyFill="1" applyBorder="1" applyAlignment="1">
      <alignment horizontal="center" vertical="center"/>
    </xf>
    <xf numFmtId="0" fontId="22" fillId="11" borderId="19" xfId="0" applyFont="1" applyFill="1" applyBorder="1" applyAlignment="1">
      <alignment horizontal="center" vertical="center"/>
    </xf>
    <xf numFmtId="0" fontId="23" fillId="11" borderId="20" xfId="0" applyFont="1" applyFill="1" applyBorder="1" applyAlignment="1">
      <alignment horizontal="center" vertical="center"/>
    </xf>
    <xf numFmtId="0" fontId="23" fillId="11" borderId="21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21" fillId="11" borderId="11" xfId="0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0" fontId="21" fillId="11" borderId="13" xfId="0" applyFont="1" applyFill="1" applyBorder="1" applyAlignment="1">
      <alignment horizontal="center" vertical="center"/>
    </xf>
    <xf numFmtId="0" fontId="21" fillId="11" borderId="14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0" fontId="20" fillId="11" borderId="9" xfId="0" applyFont="1" applyFill="1" applyBorder="1" applyAlignment="1">
      <alignment horizontal="center" vertical="center" wrapText="1"/>
    </xf>
    <xf numFmtId="0" fontId="38" fillId="6" borderId="25" xfId="0" applyFont="1" applyFill="1" applyBorder="1" applyAlignment="1">
      <alignment horizontal="left" vertical="center"/>
    </xf>
    <xf numFmtId="0" fontId="43" fillId="8" borderId="27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38" fillId="2" borderId="25" xfId="0" applyFont="1" applyFill="1" applyBorder="1" applyAlignment="1">
      <alignment horizontal="left" vertical="center"/>
    </xf>
    <xf numFmtId="0" fontId="42" fillId="8" borderId="0" xfId="0" applyFont="1" applyFill="1" applyAlignment="1">
      <alignment horizontal="left" vertical="center" wrapText="1"/>
    </xf>
    <xf numFmtId="0" fontId="3" fillId="4" borderId="33" xfId="0" applyFont="1" applyFill="1" applyBorder="1" applyAlignment="1">
      <alignment horizontal="left" vertical="center"/>
    </xf>
    <xf numFmtId="0" fontId="4" fillId="5" borderId="33" xfId="0" applyFont="1" applyFill="1" applyBorder="1" applyAlignment="1">
      <alignment horizontal="left" vertical="center" wrapText="1"/>
    </xf>
    <xf numFmtId="0" fontId="53" fillId="6" borderId="2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top" wrapText="1"/>
    </xf>
    <xf numFmtId="0" fontId="5" fillId="6" borderId="29" xfId="0" applyFont="1" applyFill="1" applyBorder="1" applyAlignment="1">
      <alignment horizontal="left" vertical="center"/>
    </xf>
    <xf numFmtId="0" fontId="27" fillId="16" borderId="30" xfId="0" applyFont="1" applyFill="1" applyBorder="1" applyAlignment="1">
      <alignment horizontal="center" vertical="center"/>
    </xf>
    <xf numFmtId="0" fontId="38" fillId="2" borderId="31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left" vertical="center"/>
    </xf>
    <xf numFmtId="0" fontId="43" fillId="8" borderId="0" xfId="0" applyFont="1" applyFill="1" applyAlignment="1">
      <alignment horizontal="center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56" fillId="2" borderId="0" xfId="0" applyFont="1" applyFill="1" applyAlignment="1">
      <alignment horizontal="center" vertical="center"/>
    </xf>
    <xf numFmtId="0" fontId="58" fillId="10" borderId="0" xfId="0" applyFont="1" applyFill="1" applyAlignment="1">
      <alignment horizontal="left" vertical="center" wrapText="1"/>
    </xf>
    <xf numFmtId="0" fontId="59" fillId="10" borderId="0" xfId="0" applyFont="1" applyFill="1" applyAlignment="1">
      <alignment horizontal="center" vertical="center" wrapText="1"/>
    </xf>
    <xf numFmtId="0" fontId="31" fillId="11" borderId="22" xfId="0" applyNumberFormat="1" applyFont="1" applyFill="1" applyBorder="1" applyAlignment="1">
      <alignment horizontal="center" vertical="center"/>
    </xf>
    <xf numFmtId="3" fontId="31" fillId="11" borderId="22" xfId="0" applyNumberFormat="1" applyFont="1" applyFill="1" applyBorder="1" applyAlignment="1">
      <alignment horizontal="center" vertical="center"/>
    </xf>
    <xf numFmtId="0" fontId="31" fillId="10" borderId="22" xfId="0" applyNumberFormat="1" applyFont="1" applyFill="1" applyBorder="1" applyAlignment="1">
      <alignment horizontal="center" vertical="center"/>
    </xf>
    <xf numFmtId="3" fontId="31" fillId="10" borderId="22" xfId="0" applyNumberFormat="1" applyFont="1" applyFill="1" applyBorder="1" applyAlignment="1">
      <alignment horizontal="center" vertical="center"/>
    </xf>
    <xf numFmtId="10" fontId="33" fillId="11" borderId="22" xfId="0" applyNumberFormat="1" applyFont="1" applyFill="1" applyBorder="1" applyAlignment="1">
      <alignment horizontal="center" vertical="center"/>
    </xf>
    <xf numFmtId="10" fontId="33" fillId="10" borderId="22" xfId="0" applyNumberFormat="1" applyFont="1" applyFill="1" applyBorder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0" fontId="61" fillId="2" borderId="26" xfId="0" applyFont="1" applyFill="1" applyBorder="1" applyAlignment="1">
      <alignment horizontal="left" vertical="center"/>
    </xf>
    <xf numFmtId="164" fontId="61" fillId="2" borderId="26" xfId="0" applyNumberFormat="1" applyFont="1" applyFill="1" applyBorder="1" applyAlignment="1">
      <alignment horizontal="right" vertical="center"/>
    </xf>
    <xf numFmtId="165" fontId="62" fillId="2" borderId="26" xfId="0" applyNumberFormat="1" applyFont="1" applyFill="1" applyBorder="1" applyAlignment="1">
      <alignment horizontal="right" vertical="center"/>
    </xf>
    <xf numFmtId="0" fontId="63" fillId="2" borderId="26" xfId="0" applyFont="1" applyFill="1" applyBorder="1" applyAlignment="1">
      <alignment horizontal="left" vertical="center" wrapText="1"/>
    </xf>
    <xf numFmtId="0" fontId="64" fillId="0" borderId="0" xfId="0" applyFont="1"/>
    <xf numFmtId="0" fontId="65" fillId="8" borderId="27" xfId="0" applyFont="1" applyFill="1" applyBorder="1" applyAlignment="1">
      <alignment horizontal="center" vertical="center" wrapText="1"/>
    </xf>
    <xf numFmtId="0" fontId="66" fillId="8" borderId="0" xfId="0" applyFont="1" applyFill="1" applyAlignment="1">
      <alignment horizontal="left" vertical="center" wrapText="1"/>
    </xf>
    <xf numFmtId="0" fontId="67" fillId="3" borderId="26" xfId="0" applyFont="1" applyFill="1" applyBorder="1" applyAlignment="1">
      <alignment horizontal="left" vertical="center"/>
    </xf>
    <xf numFmtId="164" fontId="67" fillId="3" borderId="26" xfId="0" applyNumberFormat="1" applyFont="1" applyFill="1" applyBorder="1" applyAlignment="1">
      <alignment horizontal="right" vertical="center"/>
    </xf>
    <xf numFmtId="165" fontId="68" fillId="3" borderId="26" xfId="0" applyNumberFormat="1" applyFont="1" applyFill="1" applyBorder="1" applyAlignment="1">
      <alignment horizontal="right" vertical="center"/>
    </xf>
    <xf numFmtId="0" fontId="66" fillId="8" borderId="26" xfId="0" applyFont="1" applyFill="1" applyBorder="1" applyAlignment="1">
      <alignment horizontal="left" vertical="center" wrapText="1"/>
    </xf>
    <xf numFmtId="0" fontId="69" fillId="0" borderId="0" xfId="0" applyFont="1"/>
    <xf numFmtId="0" fontId="70" fillId="3" borderId="26" xfId="0" applyFont="1" applyFill="1" applyBorder="1" applyAlignment="1">
      <alignment horizontal="left" vertical="center"/>
    </xf>
    <xf numFmtId="164" fontId="70" fillId="3" borderId="26" xfId="0" applyNumberFormat="1" applyFont="1" applyFill="1" applyBorder="1" applyAlignment="1">
      <alignment horizontal="right" vertical="center"/>
    </xf>
    <xf numFmtId="165" fontId="71" fillId="3" borderId="26" xfId="0" applyNumberFormat="1" applyFont="1" applyFill="1" applyBorder="1" applyAlignment="1">
      <alignment horizontal="right" vertical="center"/>
    </xf>
    <xf numFmtId="0" fontId="72" fillId="8" borderId="26" xfId="0" applyFont="1" applyFill="1" applyBorder="1" applyAlignment="1">
      <alignment horizontal="left" vertical="center" wrapText="1"/>
    </xf>
    <xf numFmtId="0" fontId="0" fillId="0" borderId="0" xfId="0" applyFont="1"/>
    <xf numFmtId="0" fontId="73" fillId="6" borderId="29" xfId="0" applyFont="1" applyFill="1" applyBorder="1" applyAlignment="1">
      <alignment horizontal="left" vertical="center"/>
    </xf>
    <xf numFmtId="0" fontId="74" fillId="8" borderId="26" xfId="0" applyFont="1" applyFill="1" applyBorder="1" applyAlignment="1">
      <alignment horizontal="left" vertical="center" wrapText="1"/>
    </xf>
    <xf numFmtId="0" fontId="67" fillId="4" borderId="29" xfId="0" applyFont="1" applyFill="1" applyBorder="1" applyAlignment="1">
      <alignment horizontal="left" vertical="top" wrapText="1"/>
    </xf>
    <xf numFmtId="0" fontId="73" fillId="6" borderId="34" xfId="0" applyFont="1" applyFill="1" applyBorder="1" applyAlignment="1">
      <alignment horizontal="left" vertical="center"/>
    </xf>
    <xf numFmtId="0" fontId="62" fillId="19" borderId="26" xfId="0" applyFont="1" applyFill="1" applyBorder="1" applyAlignment="1">
      <alignment horizontal="center" vertical="center"/>
    </xf>
    <xf numFmtId="0" fontId="62" fillId="20" borderId="26" xfId="0" applyFont="1" applyFill="1" applyBorder="1" applyAlignment="1">
      <alignment horizontal="center" vertical="center"/>
    </xf>
    <xf numFmtId="0" fontId="68" fillId="21" borderId="26" xfId="0" applyFont="1" applyFill="1" applyBorder="1" applyAlignment="1">
      <alignment horizontal="center" vertical="center"/>
    </xf>
    <xf numFmtId="0" fontId="65" fillId="8" borderId="0" xfId="0" applyFont="1" applyFill="1" applyAlignment="1">
      <alignment horizontal="center" vertical="center" wrapText="1"/>
    </xf>
    <xf numFmtId="0" fontId="67" fillId="3" borderId="25" xfId="0" applyFont="1" applyFill="1" applyBorder="1" applyAlignment="1">
      <alignment horizontal="left" vertical="center" wrapText="1"/>
    </xf>
    <xf numFmtId="0" fontId="66" fillId="8" borderId="26" xfId="0" applyFont="1" applyFill="1" applyBorder="1" applyAlignment="1">
      <alignment horizontal="left" vertical="center" wrapText="1"/>
    </xf>
    <xf numFmtId="0" fontId="7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9F9F9"/>
      <rgbColor rgb="FF0000FF"/>
      <rgbColor rgb="FFDDDDDD"/>
      <rgbColor rgb="FFFF00FF"/>
      <rgbColor rgb="FFCFD8DC"/>
      <rgbColor rgb="FF5D4037"/>
      <rgbColor rgb="FF006400"/>
      <rgbColor rgb="FF0D1B2A"/>
      <rgbColor rgb="FF856404"/>
      <rgbColor rgb="FF800080"/>
      <rgbColor rgb="FF1B5E20"/>
      <rgbColor rgb="FFBBBBBB"/>
      <rgbColor rgb="FF878787"/>
      <rgbColor rgb="FFB0BEC5"/>
      <rgbColor rgb="FFBE4B48"/>
      <rgbColor rgb="FFFFF8E1"/>
      <rgbColor rgb="FFE8F5E9"/>
      <rgbColor rgb="FF4A148C"/>
      <rgbColor rgb="FFEF9A9A"/>
      <rgbColor rgb="FF1565C0"/>
      <rgbColor rgb="FFBDD7EE"/>
      <rgbColor rgb="FF000080"/>
      <rgbColor rgb="FFFF00FF"/>
      <rgbColor rgb="FFFFEBEE"/>
      <rgbColor rgb="FFD9D9D9"/>
      <rgbColor rgb="FF800080"/>
      <rgbColor rgb="FF800000"/>
      <rgbColor rgb="FF008080"/>
      <rgbColor rgb="FF0000FF"/>
      <rgbColor rgb="FFA5D6A7"/>
      <rgbColor rgb="FFEBF3FB"/>
      <rgbColor rgb="FFECEFF1"/>
      <rgbColor rgb="FFFFF3CD"/>
      <rgbColor rgb="FF80CBC4"/>
      <rgbColor rgb="FFF48FB1"/>
      <rgbColor rgb="FFCE93D8"/>
      <rgbColor rgb="FFFFCC80"/>
      <rgbColor rgb="FF4A7EBB"/>
      <rgbColor rgb="FF4FC3F7"/>
      <rgbColor rgb="FF9BBB59"/>
      <rgbColor rgb="FFCCCCCC"/>
      <rgbColor rgb="FFF9A825"/>
      <rgbColor rgb="FFE65100"/>
      <rgbColor rgb="FF546E7A"/>
      <rgbColor rgb="FF4F81BD"/>
      <rgbColor rgb="FF1A3A5C"/>
      <rgbColor rgb="FF2E7D32"/>
      <rgbColor rgb="FF0D2137"/>
      <rgbColor rgb="FF37474F"/>
      <rgbColor rgb="FFB71C1C"/>
      <rgbColor rgb="FFC0504D"/>
      <rgbColor rgb="FF1F3864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FINANCIAL PERFORMANCE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DASHBOARD!$C$27</c:f>
              <c:strCache>
                <c:ptCount val="1"/>
                <c:pt idx="0">
                  <c:v>FY2023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DASHBOARD!$B$28:$B$33</c:f>
              <c:strCache>
                <c:ptCount val="6"/>
                <c:pt idx="0">
                  <c:v>Total Revenue ($M)</c:v>
                </c:pt>
                <c:pt idx="1">
                  <c:v>OGN Revenue ($M)</c:v>
                </c:pt>
                <c:pt idx="2">
                  <c:v>Net Earnings ($M)</c:v>
                </c:pt>
                <c:pt idx="3">
                  <c:v>EBITDAX ($M)</c:v>
                </c:pt>
                <c:pt idx="4">
                  <c:v>Operating CF ($M)</c:v>
                </c:pt>
                <c:pt idx="5">
                  <c:v>FCF ($M)</c:v>
                </c:pt>
              </c:strCache>
            </c:strRef>
          </c:cat>
          <c:val>
            <c:numRef>
              <c:f>DASHBOARD!$C$28:$C$33</c:f>
              <c:numCache>
                <c:formatCode>#,##0</c:formatCode>
                <c:ptCount val="6"/>
                <c:pt idx="0">
                  <c:v>15258</c:v>
                </c:pt>
                <c:pt idx="1">
                  <c:v>10791</c:v>
                </c:pt>
                <c:pt idx="2">
                  <c:v>3782</c:v>
                </c:pt>
                <c:pt idx="3">
                  <c:v>7534</c:v>
                </c:pt>
                <c:pt idx="4">
                  <c:v>6544</c:v>
                </c:pt>
                <c:pt idx="5">
                  <c:v>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8-43DD-9272-E8D3EAF53FC4}"/>
            </c:ext>
          </c:extLst>
        </c:ser>
        <c:ser>
          <c:idx val="1"/>
          <c:order val="1"/>
          <c:tx>
            <c:strRef>
              <c:f>DASHBOARD!$D$27</c:f>
              <c:strCache>
                <c:ptCount val="1"/>
                <c:pt idx="0">
                  <c:v>FY2024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DASHBOARD!$B$28:$B$33</c:f>
              <c:strCache>
                <c:ptCount val="6"/>
                <c:pt idx="0">
                  <c:v>Total Revenue ($M)</c:v>
                </c:pt>
                <c:pt idx="1">
                  <c:v>OGN Revenue ($M)</c:v>
                </c:pt>
                <c:pt idx="2">
                  <c:v>Net Earnings ($M)</c:v>
                </c:pt>
                <c:pt idx="3">
                  <c:v>EBITDAX ($M)</c:v>
                </c:pt>
                <c:pt idx="4">
                  <c:v>Operating CF ($M)</c:v>
                </c:pt>
                <c:pt idx="5">
                  <c:v>FCF ($M)</c:v>
                </c:pt>
              </c:strCache>
            </c:strRef>
          </c:cat>
          <c:val>
            <c:numRef>
              <c:f>DASHBOARD!$D$28:$D$33</c:f>
              <c:numCache>
                <c:formatCode>#,##0</c:formatCode>
                <c:ptCount val="6"/>
                <c:pt idx="0">
                  <c:v>15940</c:v>
                </c:pt>
                <c:pt idx="1">
                  <c:v>11176</c:v>
                </c:pt>
                <c:pt idx="2">
                  <c:v>2942</c:v>
                </c:pt>
                <c:pt idx="3">
                  <c:v>7739</c:v>
                </c:pt>
                <c:pt idx="4">
                  <c:v>6600</c:v>
                </c:pt>
                <c:pt idx="5">
                  <c:v>2955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8-43DD-9272-E8D3EAF53FC4}"/>
            </c:ext>
          </c:extLst>
        </c:ser>
        <c:ser>
          <c:idx val="2"/>
          <c:order val="2"/>
          <c:tx>
            <c:strRef>
              <c:f>DASHBOARD!$E$27</c:f>
              <c:strCache>
                <c:ptCount val="1"/>
                <c:pt idx="0">
                  <c:v>FY2025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DASHBOARD!$B$28:$B$33</c:f>
              <c:strCache>
                <c:ptCount val="6"/>
                <c:pt idx="0">
                  <c:v>Total Revenue ($M)</c:v>
                </c:pt>
                <c:pt idx="1">
                  <c:v>OGN Revenue ($M)</c:v>
                </c:pt>
                <c:pt idx="2">
                  <c:v>Net Earnings ($M)</c:v>
                </c:pt>
                <c:pt idx="3">
                  <c:v>EBITDAX ($M)</c:v>
                </c:pt>
                <c:pt idx="4">
                  <c:v>Operating CF ($M)</c:v>
                </c:pt>
                <c:pt idx="5">
                  <c:v>FCF ($M)</c:v>
                </c:pt>
              </c:strCache>
            </c:strRef>
          </c:cat>
          <c:val>
            <c:numRef>
              <c:f>DASHBOARD!$E$28:$E$33</c:f>
              <c:numCache>
                <c:formatCode>#,##0</c:formatCode>
                <c:ptCount val="6"/>
                <c:pt idx="0">
                  <c:v>17188</c:v>
                </c:pt>
                <c:pt idx="1">
                  <c:v>11223</c:v>
                </c:pt>
                <c:pt idx="2">
                  <c:v>2681</c:v>
                </c:pt>
                <c:pt idx="3">
                  <c:v>7413</c:v>
                </c:pt>
                <c:pt idx="4">
                  <c:v>6711</c:v>
                </c:pt>
                <c:pt idx="5">
                  <c:v>3119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D8-43DD-9272-E8D3EAF53F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1040383"/>
        <c:axId val="461061503"/>
      </c:barChart>
      <c:catAx>
        <c:axId val="46104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61503"/>
        <c:crosses val="autoZero"/>
        <c:auto val="1"/>
        <c:lblAlgn val="ctr"/>
        <c:lblOffset val="100"/>
        <c:noMultiLvlLbl val="0"/>
      </c:catAx>
      <c:valAx>
        <c:axId val="4610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4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ASSETS VS. EQUITY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DASHBOARD!$B$34</c:f>
              <c:strCache>
                <c:ptCount val="1"/>
                <c:pt idx="0">
                  <c:v>Total Assets ($B)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DASHBOARD!$C$34:$E$34</c:f>
              <c:numCache>
                <c:formatCode>General</c:formatCode>
                <c:ptCount val="3"/>
                <c:pt idx="0">
                  <c:v>24.5</c:v>
                </c:pt>
                <c:pt idx="1">
                  <c:v>30.5</c:v>
                </c:pt>
                <c:pt idx="2">
                  <c:v>31.6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7-4DF5-8502-E64DA201A8F4}"/>
            </c:ext>
          </c:extLst>
        </c:ser>
        <c:ser>
          <c:idx val="1"/>
          <c:order val="1"/>
          <c:tx>
            <c:strRef>
              <c:f>DASHBOARD!$B$35</c:f>
              <c:strCache>
                <c:ptCount val="1"/>
                <c:pt idx="0">
                  <c:v>Total Equity ($B)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DASHBOARD!$C$35:$E$35</c:f>
              <c:numCache>
                <c:formatCode>General</c:formatCode>
                <c:ptCount val="3"/>
                <c:pt idx="0">
                  <c:v>12.2</c:v>
                </c:pt>
                <c:pt idx="1">
                  <c:v>14.7</c:v>
                </c:pt>
                <c:pt idx="2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7-4DF5-8502-E64DA201A8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0673871"/>
        <c:axId val="550670991"/>
      </c:lineChart>
      <c:catAx>
        <c:axId val="55067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670991"/>
        <c:crosses val="autoZero"/>
        <c:auto val="1"/>
        <c:lblAlgn val="ctr"/>
        <c:lblOffset val="100"/>
        <c:noMultiLvlLbl val="0"/>
      </c:catAx>
      <c:valAx>
        <c:axId val="5506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67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DASHBOARD!$G$27</c:f>
              <c:strCache>
                <c:ptCount val="1"/>
                <c:pt idx="0">
                  <c:v>CAGR (2-YR)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shade val="51000"/>
                    </a:schemeClr>
                  </a:gs>
                  <a:gs pos="80000">
                    <a:schemeClr val="accent1">
                      <a:lumMod val="60000"/>
                      <a:shade val="93000"/>
                    </a:schemeClr>
                  </a:gs>
                  <a:gs pos="100000">
                    <a:schemeClr val="accent1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shade val="51000"/>
                    </a:schemeClr>
                  </a:gs>
                  <a:gs pos="80000">
                    <a:schemeClr val="accent2">
                      <a:lumMod val="60000"/>
                      <a:shade val="93000"/>
                    </a:schemeClr>
                  </a:gs>
                  <a:gs pos="100000">
                    <a:schemeClr val="accent2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DASHBOARD!$B$28:$B$35</c:f>
              <c:strCache>
                <c:ptCount val="8"/>
                <c:pt idx="0">
                  <c:v>Total Revenue ($M)</c:v>
                </c:pt>
                <c:pt idx="1">
                  <c:v>OGN Revenue ($M)</c:v>
                </c:pt>
                <c:pt idx="2">
                  <c:v>Net Earnings ($M)</c:v>
                </c:pt>
                <c:pt idx="3">
                  <c:v>EBITDAX ($M)</c:v>
                </c:pt>
                <c:pt idx="4">
                  <c:v>Operating CF ($M)</c:v>
                </c:pt>
                <c:pt idx="5">
                  <c:v>FCF ($M)</c:v>
                </c:pt>
                <c:pt idx="6">
                  <c:v>Total Assets ($B)</c:v>
                </c:pt>
                <c:pt idx="7">
                  <c:v>Total Equity ($B)</c:v>
                </c:pt>
              </c:strCache>
            </c:strRef>
          </c:cat>
          <c:val>
            <c:numRef>
              <c:f>DASHBOARD!$G$28:$G$35</c:f>
              <c:numCache>
                <c:formatCode>0.00%</c:formatCode>
                <c:ptCount val="8"/>
                <c:pt idx="0">
                  <c:v>6.0999999999999999E-2</c:v>
                </c:pt>
                <c:pt idx="1">
                  <c:v>0.02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1.2999999999999999E-2</c:v>
                </c:pt>
                <c:pt idx="5">
                  <c:v>8.3000000000000004E-2</c:v>
                </c:pt>
                <c:pt idx="6">
                  <c:v>0.13500000000000001</c:v>
                </c:pt>
                <c:pt idx="7">
                  <c:v>0.129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3-48FE-9300-55F17742654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397933</xdr:colOff>
      <xdr:row>26</xdr:row>
      <xdr:rowOff>42332</xdr:rowOff>
    </xdr:from>
    <xdr:to>
      <xdr:col>18</xdr:col>
      <xdr:colOff>1151467</xdr:colOff>
      <xdr:row>35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83023C-6685-91BA-F9A5-32346A2DD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198965</xdr:colOff>
      <xdr:row>36</xdr:row>
      <xdr:rowOff>186266</xdr:rowOff>
    </xdr:from>
    <xdr:to>
      <xdr:col>8</xdr:col>
      <xdr:colOff>533399</xdr:colOff>
      <xdr:row>53</xdr:row>
      <xdr:rowOff>16933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B0939E-2E74-8AA5-007A-583A34023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101600</xdr:colOff>
      <xdr:row>36</xdr:row>
      <xdr:rowOff>143933</xdr:rowOff>
    </xdr:from>
    <xdr:to>
      <xdr:col>18</xdr:col>
      <xdr:colOff>838200</xdr:colOff>
      <xdr:row>53</xdr:row>
      <xdr:rowOff>16933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9ACD8C-4F16-7AD3-7F76-1A075F0D9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showGridLines="0" zoomScale="90" zoomScaleNormal="90" workbookViewId="0">
      <selection activeCell="E44" sqref="E44"/>
    </sheetView>
  </sheetViews>
  <sheetFormatPr defaultColWidth="8.6328125" defaultRowHeight="14.5" x14ac:dyDescent="0.35"/>
  <cols>
    <col min="1" max="8" width="18" customWidth="1"/>
    <col min="9" max="9" width="43.26953125" customWidth="1"/>
  </cols>
  <sheetData>
    <row r="1" spans="1:9" ht="45" customHeight="1" x14ac:dyDescent="0.35">
      <c r="A1" s="78" t="s">
        <v>842</v>
      </c>
      <c r="B1" s="78"/>
      <c r="C1" s="78"/>
      <c r="D1" s="78"/>
      <c r="E1" s="78"/>
      <c r="F1" s="78"/>
      <c r="G1" s="78"/>
      <c r="H1" s="78"/>
      <c r="I1" s="78"/>
    </row>
    <row r="2" spans="1:9" ht="9.75" customHeight="1" x14ac:dyDescent="0.35">
      <c r="A2" s="78"/>
      <c r="B2" s="78"/>
      <c r="C2" s="78"/>
      <c r="D2" s="78"/>
      <c r="E2" s="78"/>
      <c r="F2" s="78"/>
      <c r="G2" s="78"/>
      <c r="H2" s="78"/>
      <c r="I2" s="78"/>
    </row>
    <row r="3" spans="1:9" ht="9.75" customHeight="1" x14ac:dyDescent="0.35">
      <c r="A3" s="78"/>
      <c r="B3" s="78"/>
      <c r="C3" s="78"/>
      <c r="D3" s="78"/>
      <c r="E3" s="78"/>
      <c r="F3" s="78"/>
      <c r="G3" s="78"/>
      <c r="H3" s="78"/>
      <c r="I3" s="78"/>
    </row>
    <row r="4" spans="1:9" ht="24" customHeight="1" x14ac:dyDescent="0.35">
      <c r="A4" s="79" t="s">
        <v>0</v>
      </c>
      <c r="B4" s="79"/>
      <c r="C4" s="79"/>
      <c r="D4" s="79"/>
      <c r="E4" s="79"/>
      <c r="F4" s="79"/>
      <c r="G4" s="79"/>
      <c r="H4" s="79"/>
      <c r="I4" s="79"/>
    </row>
    <row r="5" spans="1:9" ht="12" customHeigh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16.5" customHeight="1" x14ac:dyDescent="0.35">
      <c r="A6" s="76" t="s">
        <v>1</v>
      </c>
      <c r="B6" s="76"/>
      <c r="C6" s="76"/>
      <c r="D6" s="73" t="s">
        <v>2</v>
      </c>
      <c r="E6" s="73"/>
      <c r="F6" s="73"/>
      <c r="G6" s="73"/>
      <c r="H6" s="73"/>
      <c r="I6" s="73"/>
    </row>
    <row r="7" spans="1:9" ht="16.5" customHeight="1" x14ac:dyDescent="0.35">
      <c r="A7" s="76" t="s">
        <v>3</v>
      </c>
      <c r="B7" s="76"/>
      <c r="C7" s="76"/>
      <c r="D7" s="73" t="s">
        <v>4</v>
      </c>
      <c r="E7" s="73"/>
      <c r="F7" s="73"/>
      <c r="G7" s="73"/>
      <c r="H7" s="73"/>
      <c r="I7" s="73"/>
    </row>
    <row r="8" spans="1:9" ht="16.5" customHeight="1" x14ac:dyDescent="0.35">
      <c r="A8" s="76" t="s">
        <v>5</v>
      </c>
      <c r="B8" s="76"/>
      <c r="C8" s="76"/>
      <c r="D8" s="73" t="s">
        <v>6</v>
      </c>
      <c r="E8" s="73"/>
      <c r="F8" s="73"/>
      <c r="G8" s="73"/>
      <c r="H8" s="73"/>
      <c r="I8" s="73"/>
    </row>
    <row r="9" spans="1:9" ht="16.5" customHeight="1" x14ac:dyDescent="0.35">
      <c r="A9" s="76" t="s">
        <v>7</v>
      </c>
      <c r="B9" s="76"/>
      <c r="C9" s="76"/>
      <c r="D9" s="73" t="s">
        <v>8</v>
      </c>
      <c r="E9" s="73"/>
      <c r="F9" s="73"/>
      <c r="G9" s="73"/>
      <c r="H9" s="73"/>
      <c r="I9" s="73"/>
    </row>
    <row r="10" spans="1:9" ht="16.5" customHeight="1" x14ac:dyDescent="0.35">
      <c r="A10" s="76" t="s">
        <v>9</v>
      </c>
      <c r="B10" s="76"/>
      <c r="C10" s="76"/>
      <c r="D10" s="73" t="s">
        <v>10</v>
      </c>
      <c r="E10" s="73"/>
      <c r="F10" s="73"/>
      <c r="G10" s="73"/>
      <c r="H10" s="73"/>
      <c r="I10" s="73"/>
    </row>
    <row r="11" spans="1:9" ht="16.5" customHeight="1" x14ac:dyDescent="0.35">
      <c r="A11" s="76" t="s">
        <v>11</v>
      </c>
      <c r="B11" s="76"/>
      <c r="C11" s="76"/>
      <c r="D11" s="73" t="s">
        <v>12</v>
      </c>
      <c r="E11" s="73"/>
      <c r="F11" s="73"/>
      <c r="G11" s="73"/>
      <c r="H11" s="73"/>
      <c r="I11" s="73"/>
    </row>
    <row r="12" spans="1:9" ht="16.5" customHeight="1" x14ac:dyDescent="0.35">
      <c r="A12" s="76" t="s">
        <v>13</v>
      </c>
      <c r="B12" s="76"/>
      <c r="C12" s="76"/>
      <c r="D12" s="73" t="s">
        <v>14</v>
      </c>
      <c r="E12" s="73"/>
      <c r="F12" s="73"/>
      <c r="G12" s="73"/>
      <c r="H12" s="73"/>
      <c r="I12" s="73"/>
    </row>
    <row r="13" spans="1:9" ht="16.5" customHeight="1" x14ac:dyDescent="0.35">
      <c r="A13" s="76" t="s">
        <v>15</v>
      </c>
      <c r="B13" s="76"/>
      <c r="C13" s="76"/>
      <c r="D13" s="73" t="s">
        <v>843</v>
      </c>
      <c r="E13" s="73"/>
      <c r="F13" s="73"/>
      <c r="G13" s="73"/>
      <c r="H13" s="73"/>
      <c r="I13" s="73"/>
    </row>
    <row r="14" spans="1:9" ht="16.5" customHeight="1" x14ac:dyDescent="0.35">
      <c r="A14" s="76" t="s">
        <v>16</v>
      </c>
      <c r="B14" s="76"/>
      <c r="C14" s="76"/>
      <c r="D14" s="73" t="s">
        <v>17</v>
      </c>
      <c r="E14" s="73"/>
      <c r="F14" s="73"/>
      <c r="G14" s="73"/>
      <c r="H14" s="73"/>
      <c r="I14" s="73"/>
    </row>
    <row r="15" spans="1:9" ht="16.5" customHeight="1" x14ac:dyDescent="0.35">
      <c r="A15" s="76" t="s">
        <v>18</v>
      </c>
      <c r="B15" s="76"/>
      <c r="C15" s="76"/>
      <c r="D15" s="73" t="s">
        <v>19</v>
      </c>
      <c r="E15" s="73"/>
      <c r="F15" s="73"/>
      <c r="G15" s="73"/>
      <c r="H15" s="73"/>
      <c r="I15" s="73"/>
    </row>
    <row r="16" spans="1:9" ht="16.5" customHeight="1" x14ac:dyDescent="0.35">
      <c r="A16" s="76" t="s">
        <v>20</v>
      </c>
      <c r="B16" s="76"/>
      <c r="C16" s="76"/>
      <c r="D16" s="73" t="s">
        <v>21</v>
      </c>
      <c r="E16" s="73"/>
      <c r="F16" s="73"/>
      <c r="G16" s="73"/>
      <c r="H16" s="73"/>
      <c r="I16" s="73"/>
    </row>
    <row r="17" spans="1:9" ht="16.5" customHeight="1" x14ac:dyDescent="0.35">
      <c r="A17" s="76" t="s">
        <v>22</v>
      </c>
      <c r="B17" s="76"/>
      <c r="C17" s="76"/>
      <c r="D17" s="73" t="s">
        <v>23</v>
      </c>
      <c r="E17" s="73"/>
      <c r="F17" s="73"/>
      <c r="G17" s="73"/>
      <c r="H17" s="73"/>
      <c r="I17" s="73"/>
    </row>
    <row r="18" spans="1:9" ht="16.5" customHeight="1" x14ac:dyDescent="0.35">
      <c r="A18" s="76" t="s">
        <v>24</v>
      </c>
      <c r="B18" s="76"/>
      <c r="C18" s="76"/>
      <c r="D18" s="73" t="s">
        <v>25</v>
      </c>
      <c r="E18" s="73"/>
      <c r="F18" s="73"/>
      <c r="G18" s="73"/>
      <c r="H18" s="73"/>
      <c r="I18" s="73"/>
    </row>
    <row r="19" spans="1:9" ht="16.5" customHeight="1" x14ac:dyDescent="0.35">
      <c r="A19" s="76" t="s">
        <v>26</v>
      </c>
      <c r="B19" s="76"/>
      <c r="C19" s="76"/>
      <c r="D19" s="73" t="s">
        <v>27</v>
      </c>
      <c r="E19" s="73"/>
      <c r="F19" s="73"/>
      <c r="G19" s="73"/>
      <c r="H19" s="73"/>
      <c r="I19" s="73"/>
    </row>
    <row r="20" spans="1:9" ht="16.5" customHeight="1" x14ac:dyDescent="0.35">
      <c r="A20" s="76" t="s">
        <v>28</v>
      </c>
      <c r="B20" s="76"/>
      <c r="C20" s="76"/>
      <c r="D20" s="73" t="s">
        <v>29</v>
      </c>
      <c r="E20" s="73"/>
      <c r="F20" s="73"/>
      <c r="G20" s="73"/>
      <c r="H20" s="73"/>
      <c r="I20" s="73"/>
    </row>
    <row r="21" spans="1:9" ht="15" customHeight="1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ht="19.5" customHeight="1" x14ac:dyDescent="0.35">
      <c r="A23" s="77" t="s">
        <v>30</v>
      </c>
      <c r="B23" s="77"/>
      <c r="C23" s="77"/>
      <c r="D23" s="77"/>
      <c r="E23" s="77"/>
      <c r="F23" s="77"/>
      <c r="G23" s="77"/>
      <c r="H23" s="77"/>
      <c r="I23" s="77"/>
    </row>
    <row r="24" spans="1:9" ht="16.5" customHeight="1" x14ac:dyDescent="0.35">
      <c r="A24" s="2" t="s">
        <v>31</v>
      </c>
      <c r="B24" s="73" t="s">
        <v>32</v>
      </c>
      <c r="C24" s="73"/>
      <c r="D24" s="73"/>
      <c r="E24" s="73"/>
      <c r="F24" s="73"/>
      <c r="G24" s="73"/>
      <c r="H24" s="73"/>
      <c r="I24" s="73"/>
    </row>
    <row r="25" spans="1:9" ht="16.5" customHeight="1" x14ac:dyDescent="0.35">
      <c r="A25" s="2" t="s">
        <v>33</v>
      </c>
      <c r="B25" s="73" t="s">
        <v>34</v>
      </c>
      <c r="C25" s="73"/>
      <c r="D25" s="73"/>
      <c r="E25" s="73"/>
      <c r="F25" s="73"/>
      <c r="G25" s="73"/>
      <c r="H25" s="73"/>
      <c r="I25" s="73"/>
    </row>
    <row r="26" spans="1:9" ht="16.5" customHeight="1" x14ac:dyDescent="0.35">
      <c r="A26" s="2" t="s">
        <v>35</v>
      </c>
      <c r="B26" s="73" t="s">
        <v>844</v>
      </c>
      <c r="C26" s="73"/>
      <c r="D26" s="73"/>
      <c r="E26" s="73"/>
      <c r="F26" s="73"/>
      <c r="G26" s="73"/>
      <c r="H26" s="73"/>
      <c r="I26" s="73"/>
    </row>
    <row r="27" spans="1:9" ht="16.5" customHeight="1" x14ac:dyDescent="0.35">
      <c r="A27" s="2" t="s">
        <v>36</v>
      </c>
      <c r="B27" s="73" t="s">
        <v>845</v>
      </c>
      <c r="C27" s="73"/>
      <c r="D27" s="73"/>
      <c r="E27" s="73"/>
      <c r="F27" s="73"/>
      <c r="G27" s="73"/>
      <c r="H27" s="73"/>
      <c r="I27" s="73"/>
    </row>
    <row r="28" spans="1:9" ht="16.5" customHeight="1" x14ac:dyDescent="0.35">
      <c r="A28" s="2" t="s">
        <v>37</v>
      </c>
      <c r="B28" s="73" t="s">
        <v>38</v>
      </c>
      <c r="C28" s="73"/>
      <c r="D28" s="73"/>
      <c r="E28" s="73"/>
      <c r="F28" s="73"/>
      <c r="G28" s="73"/>
      <c r="H28" s="73"/>
      <c r="I28" s="73"/>
    </row>
    <row r="29" spans="1:9" ht="16.5" customHeight="1" x14ac:dyDescent="0.35">
      <c r="A29" s="2" t="s">
        <v>39</v>
      </c>
      <c r="B29" s="73" t="s">
        <v>846</v>
      </c>
      <c r="C29" s="73"/>
      <c r="D29" s="73"/>
      <c r="E29" s="73"/>
      <c r="F29" s="73"/>
      <c r="G29" s="73"/>
      <c r="H29" s="73"/>
      <c r="I29" s="73"/>
    </row>
    <row r="30" spans="1:9" ht="16.5" customHeight="1" x14ac:dyDescent="0.35">
      <c r="A30" s="2" t="s">
        <v>40</v>
      </c>
      <c r="B30" s="73" t="s">
        <v>41</v>
      </c>
      <c r="C30" s="73"/>
      <c r="D30" s="73"/>
      <c r="E30" s="73"/>
      <c r="F30" s="73"/>
      <c r="G30" s="73"/>
      <c r="H30" s="73"/>
      <c r="I30" s="73"/>
    </row>
    <row r="31" spans="1:9" ht="16.5" customHeight="1" x14ac:dyDescent="0.35">
      <c r="A31" s="2" t="s">
        <v>42</v>
      </c>
      <c r="B31" s="73" t="s">
        <v>43</v>
      </c>
      <c r="C31" s="73"/>
      <c r="D31" s="73"/>
      <c r="E31" s="73"/>
      <c r="F31" s="73"/>
      <c r="G31" s="73"/>
      <c r="H31" s="73"/>
      <c r="I31" s="73"/>
    </row>
    <row r="32" spans="1:9" ht="16.5" customHeight="1" x14ac:dyDescent="0.35">
      <c r="A32" s="2" t="s">
        <v>44</v>
      </c>
      <c r="B32" s="73" t="s">
        <v>45</v>
      </c>
      <c r="C32" s="73"/>
      <c r="D32" s="73"/>
      <c r="E32" s="73"/>
      <c r="F32" s="73"/>
      <c r="G32" s="73"/>
      <c r="H32" s="73"/>
      <c r="I32" s="73"/>
    </row>
    <row r="33" spans="1:9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19.5" customHeight="1" x14ac:dyDescent="0.35">
      <c r="A34" s="75" t="s">
        <v>847</v>
      </c>
      <c r="B34" s="75"/>
      <c r="C34" s="75"/>
      <c r="D34" s="75"/>
      <c r="E34" s="75"/>
      <c r="F34" s="75"/>
      <c r="G34" s="75"/>
      <c r="H34" s="75"/>
      <c r="I34" s="75"/>
    </row>
    <row r="35" spans="1:9" ht="15.75" customHeight="1" x14ac:dyDescent="0.35">
      <c r="A35" s="3" t="s">
        <v>46</v>
      </c>
      <c r="B35" s="73" t="s">
        <v>848</v>
      </c>
      <c r="C35" s="73"/>
      <c r="D35" s="73"/>
      <c r="E35" s="73"/>
      <c r="F35" s="73"/>
      <c r="G35" s="73"/>
      <c r="H35" s="73"/>
      <c r="I35" s="73"/>
    </row>
    <row r="36" spans="1:9" ht="15.75" customHeight="1" x14ac:dyDescent="0.35">
      <c r="A36" s="4" t="s">
        <v>47</v>
      </c>
      <c r="B36" s="73" t="s">
        <v>849</v>
      </c>
      <c r="C36" s="73"/>
      <c r="D36" s="73"/>
      <c r="E36" s="73"/>
      <c r="F36" s="73"/>
      <c r="G36" s="73"/>
      <c r="H36" s="73"/>
      <c r="I36" s="73"/>
    </row>
    <row r="37" spans="1:9" ht="15.75" customHeight="1" x14ac:dyDescent="0.35">
      <c r="A37" s="5" t="s">
        <v>48</v>
      </c>
      <c r="B37" s="73" t="s">
        <v>49</v>
      </c>
      <c r="C37" s="73"/>
      <c r="D37" s="73"/>
      <c r="E37" s="73"/>
      <c r="F37" s="73"/>
      <c r="G37" s="73"/>
      <c r="H37" s="73"/>
      <c r="I37" s="73"/>
    </row>
    <row r="38" spans="1:9" ht="15.75" customHeight="1" x14ac:dyDescent="0.35">
      <c r="A38" s="6" t="s">
        <v>50</v>
      </c>
      <c r="B38" s="73" t="s">
        <v>850</v>
      </c>
      <c r="C38" s="73"/>
      <c r="D38" s="73"/>
      <c r="E38" s="73"/>
      <c r="F38" s="73"/>
      <c r="G38" s="73"/>
      <c r="H38" s="73"/>
      <c r="I38" s="73"/>
    </row>
    <row r="39" spans="1:9" ht="15.75" customHeight="1" x14ac:dyDescent="0.35">
      <c r="A39" s="7" t="s">
        <v>51</v>
      </c>
      <c r="B39" s="73" t="s">
        <v>52</v>
      </c>
      <c r="C39" s="73"/>
      <c r="D39" s="73"/>
      <c r="E39" s="73"/>
      <c r="F39" s="73"/>
      <c r="G39" s="73"/>
      <c r="H39" s="73"/>
      <c r="I39" s="73"/>
    </row>
    <row r="40" spans="1:9" ht="15" customHeight="1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27.75" customHeight="1" x14ac:dyDescent="0.35">
      <c r="A41" s="74" t="s">
        <v>851</v>
      </c>
      <c r="B41" s="74"/>
      <c r="C41" s="74"/>
      <c r="D41" s="74"/>
      <c r="E41" s="74"/>
      <c r="F41" s="74"/>
      <c r="G41" s="74"/>
      <c r="H41" s="74"/>
      <c r="I41" s="74"/>
    </row>
    <row r="42" spans="1:9" ht="15" customHeight="1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ht="15" customHeight="1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ht="15" customHeight="1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15" customHeight="1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ht="15" customHeight="1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ht="15" customHeight="1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ht="15" customHeight="1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ht="15" customHeight="1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ht="15" customHeight="1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35">
      <c r="A54" s="1"/>
      <c r="B54" s="1"/>
      <c r="C54" s="1"/>
      <c r="D54" s="1"/>
      <c r="E54" s="1"/>
      <c r="F54" s="1"/>
      <c r="G54" s="1"/>
      <c r="H54" s="1"/>
      <c r="I54" s="1"/>
    </row>
  </sheetData>
  <mergeCells count="49">
    <mergeCell ref="A1:I3"/>
    <mergeCell ref="A4:I4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3:I23"/>
    <mergeCell ref="B24:I24"/>
    <mergeCell ref="B25:I25"/>
    <mergeCell ref="B26:I26"/>
    <mergeCell ref="B27:I27"/>
    <mergeCell ref="B28:I28"/>
    <mergeCell ref="B29:I29"/>
    <mergeCell ref="B30:I30"/>
    <mergeCell ref="B37:I37"/>
    <mergeCell ref="B38:I38"/>
    <mergeCell ref="B39:I39"/>
    <mergeCell ref="A41:I41"/>
    <mergeCell ref="B31:I31"/>
    <mergeCell ref="B32:I32"/>
    <mergeCell ref="A34:I34"/>
    <mergeCell ref="B35:I35"/>
    <mergeCell ref="B36:I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"/>
  <sheetViews>
    <sheetView showGridLines="0" tabSelected="1" zoomScale="75" zoomScaleNormal="75" workbookViewId="0">
      <selection activeCell="K61" sqref="K61"/>
    </sheetView>
  </sheetViews>
  <sheetFormatPr defaultColWidth="8.6328125" defaultRowHeight="14.5" x14ac:dyDescent="0.35"/>
  <cols>
    <col min="1" max="1" width="3" customWidth="1"/>
    <col min="2" max="2" width="20.1796875" customWidth="1"/>
    <col min="3" max="3" width="13.26953125" customWidth="1"/>
    <col min="4" max="4" width="12.81640625" customWidth="1"/>
    <col min="5" max="5" width="13.6328125" customWidth="1"/>
    <col min="6" max="6" width="12.453125" customWidth="1"/>
    <col min="7" max="7" width="14.26953125" customWidth="1"/>
    <col min="8" max="15" width="10" customWidth="1"/>
    <col min="16" max="16" width="14.08984375" customWidth="1"/>
    <col min="17" max="18" width="10" customWidth="1"/>
    <col min="19" max="19" width="20.6328125" customWidth="1"/>
    <col min="20" max="20" width="8.984375E-2" customWidth="1"/>
    <col min="21" max="21" width="27.6328125" customWidth="1"/>
  </cols>
  <sheetData>
    <row r="1" spans="1:21" ht="37.5" customHeight="1" x14ac:dyDescent="0.35">
      <c r="A1" s="8"/>
      <c r="B1" s="102" t="s">
        <v>53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8"/>
    </row>
    <row r="2" spans="1:21" ht="17.5" customHeight="1" x14ac:dyDescent="0.35">
      <c r="A2" s="8"/>
      <c r="B2" s="103" t="s">
        <v>54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8"/>
    </row>
    <row r="3" spans="1:21" ht="18.5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37.5" customHeight="1" x14ac:dyDescent="0.35">
      <c r="A4" s="8"/>
      <c r="B4" s="104" t="s">
        <v>55</v>
      </c>
      <c r="C4" s="104"/>
      <c r="D4" s="104"/>
      <c r="E4" s="105" t="s">
        <v>56</v>
      </c>
      <c r="F4" s="105"/>
      <c r="G4" s="105"/>
      <c r="H4" s="106" t="s">
        <v>57</v>
      </c>
      <c r="I4" s="106"/>
      <c r="J4" s="106"/>
      <c r="K4" s="107" t="s">
        <v>58</v>
      </c>
      <c r="L4" s="107"/>
      <c r="M4" s="107"/>
      <c r="N4" s="108" t="s">
        <v>59</v>
      </c>
      <c r="O4" s="108"/>
      <c r="P4" s="108"/>
      <c r="Q4" s="109" t="s">
        <v>60</v>
      </c>
      <c r="R4" s="109"/>
      <c r="S4" s="109"/>
      <c r="T4" s="8"/>
      <c r="U4" s="8"/>
    </row>
    <row r="5" spans="1:21" ht="43.5" customHeight="1" x14ac:dyDescent="0.35">
      <c r="A5" s="8"/>
      <c r="B5" s="96" t="s">
        <v>61</v>
      </c>
      <c r="C5" s="96"/>
      <c r="D5" s="96"/>
      <c r="E5" s="97" t="s">
        <v>62</v>
      </c>
      <c r="F5" s="97"/>
      <c r="G5" s="97"/>
      <c r="H5" s="98" t="s">
        <v>63</v>
      </c>
      <c r="I5" s="98"/>
      <c r="J5" s="98"/>
      <c r="K5" s="99" t="s">
        <v>64</v>
      </c>
      <c r="L5" s="99"/>
      <c r="M5" s="99"/>
      <c r="N5" s="100" t="s">
        <v>65</v>
      </c>
      <c r="O5" s="100"/>
      <c r="P5" s="100"/>
      <c r="Q5" s="101" t="s">
        <v>66</v>
      </c>
      <c r="R5" s="101"/>
      <c r="S5" s="101"/>
      <c r="T5" s="8"/>
      <c r="U5" s="8"/>
    </row>
    <row r="6" spans="1:21" ht="39.5" customHeight="1" x14ac:dyDescent="0.35">
      <c r="A6" s="8"/>
      <c r="B6" s="90" t="s">
        <v>67</v>
      </c>
      <c r="C6" s="90"/>
      <c r="D6" s="90"/>
      <c r="E6" s="91" t="s">
        <v>68</v>
      </c>
      <c r="F6" s="91"/>
      <c r="G6" s="91"/>
      <c r="H6" s="92" t="s">
        <v>69</v>
      </c>
      <c r="I6" s="92"/>
      <c r="J6" s="92"/>
      <c r="K6" s="93" t="s">
        <v>70</v>
      </c>
      <c r="L6" s="93"/>
      <c r="M6" s="93"/>
      <c r="N6" s="94" t="s">
        <v>71</v>
      </c>
      <c r="O6" s="94"/>
      <c r="P6" s="94"/>
      <c r="Q6" s="95" t="s">
        <v>72</v>
      </c>
      <c r="R6" s="95"/>
      <c r="S6" s="95"/>
      <c r="T6" s="8"/>
      <c r="U6" s="8"/>
    </row>
    <row r="7" spans="1:21" ht="21.5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21.75" customHeight="1" x14ac:dyDescent="0.35">
      <c r="A8" s="8"/>
      <c r="B8" s="84" t="s">
        <v>852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"/>
    </row>
    <row r="9" spans="1:21" ht="19.5" customHeight="1" x14ac:dyDescent="0.35">
      <c r="A9" s="8"/>
      <c r="B9" s="85" t="s">
        <v>73</v>
      </c>
      <c r="C9" s="85"/>
      <c r="D9" s="85"/>
      <c r="E9" s="85"/>
      <c r="F9" s="86" t="s">
        <v>74</v>
      </c>
      <c r="G9" s="86"/>
      <c r="H9" s="87" t="s">
        <v>75</v>
      </c>
      <c r="I9" s="87"/>
      <c r="J9" s="87"/>
      <c r="K9" s="8"/>
      <c r="L9" s="85" t="s">
        <v>76</v>
      </c>
      <c r="M9" s="85"/>
      <c r="N9" s="85"/>
      <c r="O9" s="85"/>
      <c r="P9" s="86" t="s">
        <v>77</v>
      </c>
      <c r="Q9" s="86"/>
      <c r="R9" s="87" t="s">
        <v>78</v>
      </c>
      <c r="S9" s="87"/>
      <c r="T9" s="87"/>
      <c r="U9" s="8"/>
    </row>
    <row r="10" spans="1:21" ht="15.5" customHeight="1" x14ac:dyDescent="0.35">
      <c r="A10" s="8"/>
      <c r="B10" s="81"/>
      <c r="C10" s="81"/>
      <c r="D10" s="81"/>
      <c r="E10" s="81"/>
      <c r="F10" s="81"/>
      <c r="G10" s="81"/>
      <c r="H10" s="81"/>
      <c r="I10" s="81"/>
      <c r="J10" s="81"/>
      <c r="K10" s="8"/>
      <c r="L10" s="81"/>
      <c r="M10" s="81"/>
      <c r="N10" s="81"/>
      <c r="O10" s="81"/>
      <c r="P10" s="81"/>
      <c r="Q10" s="81"/>
      <c r="R10" s="81"/>
      <c r="S10" s="81"/>
      <c r="T10" s="81"/>
      <c r="U10" s="8"/>
    </row>
    <row r="11" spans="1:21" ht="19.5" customHeight="1" x14ac:dyDescent="0.35">
      <c r="A11" s="8"/>
      <c r="B11" s="85" t="s">
        <v>79</v>
      </c>
      <c r="C11" s="85"/>
      <c r="D11" s="85"/>
      <c r="E11" s="85"/>
      <c r="F11" s="86" t="s">
        <v>80</v>
      </c>
      <c r="G11" s="86"/>
      <c r="H11" s="87" t="s">
        <v>81</v>
      </c>
      <c r="I11" s="87"/>
      <c r="J11" s="87"/>
      <c r="K11" s="8"/>
      <c r="L11" s="85" t="s">
        <v>82</v>
      </c>
      <c r="M11" s="85"/>
      <c r="N11" s="85"/>
      <c r="O11" s="85"/>
      <c r="P11" s="86" t="s">
        <v>83</v>
      </c>
      <c r="Q11" s="86"/>
      <c r="R11" s="87" t="s">
        <v>84</v>
      </c>
      <c r="S11" s="87"/>
      <c r="T11" s="87"/>
      <c r="U11" s="8"/>
    </row>
    <row r="12" spans="1:21" ht="14" customHeight="1" x14ac:dyDescent="0.35">
      <c r="A12" s="8"/>
      <c r="B12" s="81"/>
      <c r="C12" s="81"/>
      <c r="D12" s="81"/>
      <c r="E12" s="81"/>
      <c r="F12" s="81"/>
      <c r="G12" s="81"/>
      <c r="H12" s="81"/>
      <c r="I12" s="81"/>
      <c r="J12" s="81"/>
      <c r="K12" s="8"/>
      <c r="L12" s="81"/>
      <c r="M12" s="81"/>
      <c r="N12" s="81"/>
      <c r="O12" s="81"/>
      <c r="P12" s="81"/>
      <c r="Q12" s="81"/>
      <c r="R12" s="81"/>
      <c r="S12" s="81"/>
      <c r="T12" s="81"/>
      <c r="U12" s="8"/>
    </row>
    <row r="13" spans="1:21" ht="19.5" customHeight="1" x14ac:dyDescent="0.35">
      <c r="A13" s="8"/>
      <c r="B13" s="85" t="s">
        <v>85</v>
      </c>
      <c r="C13" s="85"/>
      <c r="D13" s="85"/>
      <c r="E13" s="85"/>
      <c r="F13" s="86" t="s">
        <v>86</v>
      </c>
      <c r="G13" s="86"/>
      <c r="H13" s="87" t="s">
        <v>81</v>
      </c>
      <c r="I13" s="87"/>
      <c r="J13" s="87"/>
      <c r="K13" s="8"/>
      <c r="L13" s="85" t="s">
        <v>87</v>
      </c>
      <c r="M13" s="85"/>
      <c r="N13" s="85"/>
      <c r="O13" s="85"/>
      <c r="P13" s="88" t="s">
        <v>88</v>
      </c>
      <c r="Q13" s="88"/>
      <c r="R13" s="89" t="s">
        <v>89</v>
      </c>
      <c r="S13" s="89"/>
      <c r="T13" s="89"/>
      <c r="U13" s="8"/>
    </row>
    <row r="14" spans="1:21" ht="14.5" customHeight="1" x14ac:dyDescent="0.35">
      <c r="A14" s="8"/>
      <c r="B14" s="81"/>
      <c r="C14" s="81"/>
      <c r="D14" s="81"/>
      <c r="E14" s="81"/>
      <c r="F14" s="81"/>
      <c r="G14" s="81"/>
      <c r="H14" s="81"/>
      <c r="I14" s="81"/>
      <c r="J14" s="81"/>
      <c r="K14" s="8"/>
      <c r="L14" s="81"/>
      <c r="M14" s="81"/>
      <c r="N14" s="81"/>
      <c r="O14" s="81"/>
      <c r="P14" s="81"/>
      <c r="Q14" s="81"/>
      <c r="R14" s="81"/>
      <c r="S14" s="81"/>
      <c r="T14" s="81"/>
      <c r="U14" s="8"/>
    </row>
    <row r="15" spans="1:21" ht="19.5" customHeight="1" x14ac:dyDescent="0.35">
      <c r="A15" s="8"/>
      <c r="B15" s="85" t="s">
        <v>90</v>
      </c>
      <c r="C15" s="85"/>
      <c r="D15" s="85"/>
      <c r="E15" s="85"/>
      <c r="F15" s="86" t="s">
        <v>91</v>
      </c>
      <c r="G15" s="86"/>
      <c r="H15" s="87" t="s">
        <v>92</v>
      </c>
      <c r="I15" s="87"/>
      <c r="J15" s="87"/>
      <c r="K15" s="8"/>
      <c r="L15" s="85" t="s">
        <v>93</v>
      </c>
      <c r="M15" s="85"/>
      <c r="N15" s="85"/>
      <c r="O15" s="85"/>
      <c r="P15" s="86" t="s">
        <v>94</v>
      </c>
      <c r="Q15" s="86"/>
      <c r="R15" s="87" t="s">
        <v>95</v>
      </c>
      <c r="S15" s="87"/>
      <c r="T15" s="87"/>
      <c r="U15" s="8"/>
    </row>
    <row r="16" spans="1:21" ht="16.5" customHeight="1" x14ac:dyDescent="0.35">
      <c r="A16" s="8"/>
      <c r="B16" s="81"/>
      <c r="C16" s="81"/>
      <c r="D16" s="81"/>
      <c r="E16" s="81"/>
      <c r="F16" s="81"/>
      <c r="G16" s="81"/>
      <c r="H16" s="81"/>
      <c r="I16" s="81"/>
      <c r="J16" s="81"/>
      <c r="K16" s="8"/>
      <c r="L16" s="81"/>
      <c r="M16" s="81"/>
      <c r="N16" s="81"/>
      <c r="O16" s="81"/>
      <c r="P16" s="81"/>
      <c r="Q16" s="81"/>
      <c r="R16" s="81"/>
      <c r="S16" s="81"/>
      <c r="T16" s="81"/>
      <c r="U16" s="8"/>
    </row>
    <row r="17" spans="1:21" ht="19.5" customHeight="1" x14ac:dyDescent="0.35">
      <c r="A17" s="8"/>
      <c r="B17" s="85" t="s">
        <v>96</v>
      </c>
      <c r="C17" s="85"/>
      <c r="D17" s="85"/>
      <c r="E17" s="85"/>
      <c r="F17" s="86" t="s">
        <v>97</v>
      </c>
      <c r="G17" s="86"/>
      <c r="H17" s="87" t="s">
        <v>75</v>
      </c>
      <c r="I17" s="87"/>
      <c r="J17" s="87"/>
      <c r="K17" s="8"/>
      <c r="L17" s="85" t="s">
        <v>98</v>
      </c>
      <c r="M17" s="85"/>
      <c r="N17" s="85"/>
      <c r="O17" s="85"/>
      <c r="P17" s="86" t="s">
        <v>99</v>
      </c>
      <c r="Q17" s="86"/>
      <c r="R17" s="87" t="s">
        <v>75</v>
      </c>
      <c r="S17" s="87"/>
      <c r="T17" s="87"/>
      <c r="U17" s="8"/>
    </row>
    <row r="18" spans="1:21" ht="6" customHeight="1" x14ac:dyDescent="0.35">
      <c r="A18" s="8"/>
      <c r="B18" s="81"/>
      <c r="C18" s="81"/>
      <c r="D18" s="81"/>
      <c r="E18" s="81"/>
      <c r="F18" s="81"/>
      <c r="G18" s="81"/>
      <c r="H18" s="81"/>
      <c r="I18" s="81"/>
      <c r="J18" s="81"/>
      <c r="K18" s="8"/>
      <c r="L18" s="81"/>
      <c r="M18" s="81"/>
      <c r="N18" s="81"/>
      <c r="O18" s="81"/>
      <c r="P18" s="81"/>
      <c r="Q18" s="81"/>
      <c r="R18" s="81"/>
      <c r="S18" s="81"/>
      <c r="T18" s="81"/>
      <c r="U18" s="8"/>
    </row>
    <row r="19" spans="1:21" ht="15" customHeight="1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9.75" customHeight="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27.75" customHeight="1" x14ac:dyDescent="0.35">
      <c r="A21" s="8"/>
      <c r="B21" s="82" t="s">
        <v>100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"/>
    </row>
    <row r="22" spans="1:21" ht="18" customHeight="1" x14ac:dyDescent="0.35">
      <c r="A22" s="8"/>
      <c r="B22" s="128" t="s">
        <v>853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"/>
    </row>
    <row r="23" spans="1:21" ht="18" customHeight="1" x14ac:dyDescent="0.35">
      <c r="A23" s="8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"/>
    </row>
    <row r="24" spans="1:21" ht="18" customHeight="1" x14ac:dyDescent="0.35">
      <c r="A24" s="8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"/>
    </row>
    <row r="25" spans="1:21" ht="9.75" customHeight="1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21.75" customHeight="1" x14ac:dyDescent="0.35">
      <c r="A26" s="8"/>
      <c r="B26" s="84" t="s">
        <v>101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"/>
    </row>
    <row r="27" spans="1:21" ht="27.75" customHeight="1" x14ac:dyDescent="0.35">
      <c r="A27" s="8"/>
      <c r="B27" s="9" t="s">
        <v>102</v>
      </c>
      <c r="C27" s="9" t="s">
        <v>103</v>
      </c>
      <c r="D27" s="9" t="s">
        <v>104</v>
      </c>
      <c r="E27" s="9" t="s">
        <v>105</v>
      </c>
      <c r="F27" s="9" t="s">
        <v>106</v>
      </c>
      <c r="G27" s="9" t="s">
        <v>107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35" customHeight="1" x14ac:dyDescent="0.35">
      <c r="A28" s="8"/>
      <c r="B28" s="10" t="s">
        <v>108</v>
      </c>
      <c r="C28" s="131">
        <v>15258</v>
      </c>
      <c r="D28" s="131">
        <v>15940</v>
      </c>
      <c r="E28" s="131">
        <v>17188</v>
      </c>
      <c r="F28" s="11" t="s">
        <v>109</v>
      </c>
      <c r="G28" s="134">
        <v>6.0999999999999999E-2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6.5" customHeight="1" x14ac:dyDescent="0.35">
      <c r="A29" s="8"/>
      <c r="B29" s="13" t="s">
        <v>110</v>
      </c>
      <c r="C29" s="133">
        <v>10791</v>
      </c>
      <c r="D29" s="133">
        <v>11176</v>
      </c>
      <c r="E29" s="133">
        <v>11223</v>
      </c>
      <c r="F29" s="14" t="s">
        <v>109</v>
      </c>
      <c r="G29" s="135">
        <v>0.02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28.5" customHeight="1" x14ac:dyDescent="0.35">
      <c r="A30" s="8"/>
      <c r="B30" s="10" t="s">
        <v>111</v>
      </c>
      <c r="C30" s="131">
        <v>3782</v>
      </c>
      <c r="D30" s="131">
        <v>2942</v>
      </c>
      <c r="E30" s="131">
        <v>2681</v>
      </c>
      <c r="F30" s="16" t="s">
        <v>112</v>
      </c>
      <c r="G30" s="12" t="s">
        <v>113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32.5" customHeight="1" x14ac:dyDescent="0.35">
      <c r="A31" s="8"/>
      <c r="B31" s="13" t="s">
        <v>114</v>
      </c>
      <c r="C31" s="133">
        <v>7534</v>
      </c>
      <c r="D31" s="133">
        <v>7739</v>
      </c>
      <c r="E31" s="133">
        <v>7413</v>
      </c>
      <c r="F31" s="17" t="s">
        <v>115</v>
      </c>
      <c r="G31" s="15" t="s">
        <v>116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27" customHeight="1" x14ac:dyDescent="0.35">
      <c r="A32" s="8"/>
      <c r="B32" s="10" t="s">
        <v>117</v>
      </c>
      <c r="C32" s="131">
        <v>6544</v>
      </c>
      <c r="D32" s="131">
        <v>6600</v>
      </c>
      <c r="E32" s="131">
        <v>6711</v>
      </c>
      <c r="F32" s="11" t="s">
        <v>109</v>
      </c>
      <c r="G32" s="134">
        <v>1.2999999999999999E-2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6.5" customHeight="1" x14ac:dyDescent="0.35">
      <c r="A33" s="8"/>
      <c r="B33" s="13" t="s">
        <v>118</v>
      </c>
      <c r="C33" s="133">
        <v>2661</v>
      </c>
      <c r="D33" s="133">
        <v>2955</v>
      </c>
      <c r="E33" s="133">
        <v>3119</v>
      </c>
      <c r="F33" s="14" t="s">
        <v>109</v>
      </c>
      <c r="G33" s="135">
        <v>8.3000000000000004E-2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30" customHeight="1" x14ac:dyDescent="0.35">
      <c r="A34" s="8"/>
      <c r="B34" s="10" t="s">
        <v>119</v>
      </c>
      <c r="C34" s="130">
        <v>24.5</v>
      </c>
      <c r="D34" s="130">
        <v>30.5</v>
      </c>
      <c r="E34" s="130">
        <v>31.6</v>
      </c>
      <c r="F34" s="11" t="s">
        <v>109</v>
      </c>
      <c r="G34" s="134">
        <v>0.13500000000000001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24" customHeight="1" x14ac:dyDescent="0.35">
      <c r="A35" s="8"/>
      <c r="B35" s="13" t="s">
        <v>120</v>
      </c>
      <c r="C35" s="132">
        <v>12.2</v>
      </c>
      <c r="D35" s="132">
        <v>14.7</v>
      </c>
      <c r="E35" s="132">
        <v>15.5</v>
      </c>
      <c r="F35" s="14" t="s">
        <v>109</v>
      </c>
      <c r="G35" s="135">
        <v>0.129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9.75" customHeigh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5" customHeigh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5" customHeight="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5" customHeigh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5" customHeight="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5" customHeigh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5" customHeight="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5" customHeight="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15" customHeight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5" customHeigh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5" customHeight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15" customHeigh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15" customHeigh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15" customHeigh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15" customHeigh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1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1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1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1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1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21.75" customHeight="1" x14ac:dyDescent="0.35">
      <c r="A56" s="8"/>
      <c r="B56" s="129" t="s">
        <v>854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"/>
    </row>
    <row r="57" spans="1:21" ht="1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</sheetData>
  <mergeCells count="65">
    <mergeCell ref="B1:T1"/>
    <mergeCell ref="B2:T2"/>
    <mergeCell ref="B4:D4"/>
    <mergeCell ref="E4:G4"/>
    <mergeCell ref="H4:J4"/>
    <mergeCell ref="K4:M4"/>
    <mergeCell ref="N4:P4"/>
    <mergeCell ref="Q4:S4"/>
    <mergeCell ref="B5:D5"/>
    <mergeCell ref="E5:G5"/>
    <mergeCell ref="H5:J5"/>
    <mergeCell ref="K5:M5"/>
    <mergeCell ref="N5:P5"/>
    <mergeCell ref="Q5:S5"/>
    <mergeCell ref="B6:D6"/>
    <mergeCell ref="E6:G6"/>
    <mergeCell ref="H6:J6"/>
    <mergeCell ref="K6:M6"/>
    <mergeCell ref="N6:P6"/>
    <mergeCell ref="Q6:S6"/>
    <mergeCell ref="B8:T8"/>
    <mergeCell ref="B9:E9"/>
    <mergeCell ref="F9:G9"/>
    <mergeCell ref="H9:J9"/>
    <mergeCell ref="L9:O9"/>
    <mergeCell ref="P9:Q9"/>
    <mergeCell ref="R9:T9"/>
    <mergeCell ref="B10:J10"/>
    <mergeCell ref="L10:T10"/>
    <mergeCell ref="B11:E11"/>
    <mergeCell ref="F11:G11"/>
    <mergeCell ref="H11:J11"/>
    <mergeCell ref="L11:O11"/>
    <mergeCell ref="P11:Q11"/>
    <mergeCell ref="R11:T11"/>
    <mergeCell ref="B12:J12"/>
    <mergeCell ref="L12:T12"/>
    <mergeCell ref="B13:E13"/>
    <mergeCell ref="F13:G13"/>
    <mergeCell ref="H13:J13"/>
    <mergeCell ref="L13:O13"/>
    <mergeCell ref="P13:Q13"/>
    <mergeCell ref="R13:T13"/>
    <mergeCell ref="B14:J14"/>
    <mergeCell ref="L14:T14"/>
    <mergeCell ref="B15:E15"/>
    <mergeCell ref="F15:G15"/>
    <mergeCell ref="H15:J15"/>
    <mergeCell ref="L15:O15"/>
    <mergeCell ref="P15:Q15"/>
    <mergeCell ref="R15:T15"/>
    <mergeCell ref="B16:J16"/>
    <mergeCell ref="L16:T16"/>
    <mergeCell ref="B17:E17"/>
    <mergeCell ref="F17:G17"/>
    <mergeCell ref="H17:J17"/>
    <mergeCell ref="L17:O17"/>
    <mergeCell ref="P17:Q17"/>
    <mergeCell ref="R17:T17"/>
    <mergeCell ref="B56:T56"/>
    <mergeCell ref="B18:J18"/>
    <mergeCell ref="L18:T18"/>
    <mergeCell ref="B21:T21"/>
    <mergeCell ref="B22:T24"/>
    <mergeCell ref="B26:T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showGridLines="0" zoomScale="85" zoomScaleNormal="85" workbookViewId="0">
      <selection activeCell="G58" sqref="G58"/>
    </sheetView>
  </sheetViews>
  <sheetFormatPr defaultColWidth="8.6328125" defaultRowHeight="14.5" x14ac:dyDescent="0.35"/>
  <cols>
    <col min="1" max="1" width="42" customWidth="1"/>
    <col min="2" max="4" width="18" customWidth="1"/>
    <col min="5" max="6" width="14" customWidth="1"/>
    <col min="7" max="7" width="18" customWidth="1"/>
    <col min="8" max="8" width="54.6328125" customWidth="1"/>
  </cols>
  <sheetData>
    <row r="1" spans="1:8" ht="30" customHeight="1" x14ac:dyDescent="0.35">
      <c r="A1" s="136" t="s">
        <v>855</v>
      </c>
      <c r="B1" s="112"/>
      <c r="C1" s="112"/>
      <c r="D1" s="112"/>
      <c r="E1" s="112"/>
      <c r="F1" s="112"/>
      <c r="G1" s="112"/>
      <c r="H1" s="112"/>
    </row>
    <row r="2" spans="1:8" ht="18" customHeight="1" x14ac:dyDescent="0.35">
      <c r="A2" s="113" t="s">
        <v>123</v>
      </c>
      <c r="B2" s="113"/>
      <c r="C2" s="113"/>
      <c r="D2" s="113"/>
      <c r="E2" s="113"/>
      <c r="F2" s="113"/>
      <c r="G2" s="113"/>
      <c r="H2" s="113"/>
    </row>
    <row r="3" spans="1:8" ht="36" customHeight="1" x14ac:dyDescent="0.35">
      <c r="A3" s="18" t="s">
        <v>124</v>
      </c>
      <c r="B3" s="18" t="s">
        <v>125</v>
      </c>
      <c r="C3" s="18" t="s">
        <v>126</v>
      </c>
      <c r="D3" s="18" t="s">
        <v>127</v>
      </c>
      <c r="E3" s="18" t="s">
        <v>128</v>
      </c>
      <c r="F3" s="18" t="s">
        <v>129</v>
      </c>
      <c r="G3" s="18" t="s">
        <v>130</v>
      </c>
      <c r="H3" s="18" t="s">
        <v>131</v>
      </c>
    </row>
    <row r="4" spans="1:8" ht="18" customHeight="1" x14ac:dyDescent="0.35">
      <c r="A4" s="110" t="s">
        <v>132</v>
      </c>
      <c r="B4" s="110"/>
      <c r="C4" s="110"/>
      <c r="D4" s="110"/>
      <c r="E4" s="110"/>
      <c r="F4" s="110"/>
      <c r="G4" s="110"/>
      <c r="H4" s="110"/>
    </row>
    <row r="5" spans="1:8" ht="15.75" customHeight="1" x14ac:dyDescent="0.35">
      <c r="A5" s="19" t="s">
        <v>133</v>
      </c>
      <c r="B5" s="20">
        <v>8879</v>
      </c>
      <c r="C5" s="20">
        <v>9368</v>
      </c>
      <c r="D5" s="20">
        <v>8906</v>
      </c>
      <c r="E5" s="21">
        <f t="shared" ref="E5:F11" si="0">IFERROR((C5-B5)/ABS(B5),"-")</f>
        <v>5.5073769568645119E-2</v>
      </c>
      <c r="F5" s="21">
        <f t="shared" si="0"/>
        <v>-4.9316823228010245E-2</v>
      </c>
      <c r="G5" s="22">
        <f t="shared" ref="G5:G11" si="1">IFERROR((D5/B5)^(1/2)-1,"-")</f>
        <v>1.5192873740963453E-3</v>
      </c>
      <c r="H5" s="23" t="s">
        <v>134</v>
      </c>
    </row>
    <row r="6" spans="1:8" ht="15.75" customHeight="1" x14ac:dyDescent="0.35">
      <c r="A6" s="19" t="s">
        <v>135</v>
      </c>
      <c r="B6" s="20">
        <v>703</v>
      </c>
      <c r="C6" s="20">
        <v>398</v>
      </c>
      <c r="D6" s="20">
        <v>842</v>
      </c>
      <c r="E6" s="21">
        <f t="shared" si="0"/>
        <v>-0.43385490753911804</v>
      </c>
      <c r="F6" s="21">
        <f t="shared" si="0"/>
        <v>1.1155778894472361</v>
      </c>
      <c r="G6" s="22">
        <f t="shared" si="1"/>
        <v>9.4405793035336139E-2</v>
      </c>
      <c r="H6" s="23" t="s">
        <v>134</v>
      </c>
    </row>
    <row r="7" spans="1:8" ht="15.75" customHeight="1" x14ac:dyDescent="0.35">
      <c r="A7" s="19" t="s">
        <v>136</v>
      </c>
      <c r="B7" s="20">
        <v>1209</v>
      </c>
      <c r="C7" s="20">
        <v>1410</v>
      </c>
      <c r="D7" s="20">
        <v>1475</v>
      </c>
      <c r="E7" s="21">
        <f t="shared" si="0"/>
        <v>0.16625310173697269</v>
      </c>
      <c r="F7" s="21">
        <f t="shared" si="0"/>
        <v>4.6099290780141841E-2</v>
      </c>
      <c r="G7" s="22">
        <f t="shared" si="1"/>
        <v>0.10454359017523074</v>
      </c>
      <c r="H7" s="23" t="s">
        <v>134</v>
      </c>
    </row>
    <row r="8" spans="1:8" ht="15.75" customHeight="1" x14ac:dyDescent="0.35">
      <c r="A8" s="24" t="s">
        <v>137</v>
      </c>
      <c r="B8" s="25">
        <f>B5+B6+B7</f>
        <v>10791</v>
      </c>
      <c r="C8" s="25">
        <f>C5+C6+C7</f>
        <v>11176</v>
      </c>
      <c r="D8" s="25">
        <f>D5+D6+D7</f>
        <v>11223</v>
      </c>
      <c r="E8" s="26">
        <f t="shared" si="0"/>
        <v>3.5677879714576963E-2</v>
      </c>
      <c r="F8" s="26">
        <f t="shared" si="0"/>
        <v>4.2054402290622765E-3</v>
      </c>
      <c r="G8" s="27">
        <f t="shared" si="1"/>
        <v>1.9820259229183179E-2</v>
      </c>
      <c r="H8" s="23" t="s">
        <v>138</v>
      </c>
    </row>
    <row r="9" spans="1:8" ht="15.75" customHeight="1" x14ac:dyDescent="0.35">
      <c r="A9" s="19" t="s">
        <v>139</v>
      </c>
      <c r="B9" s="20">
        <v>118</v>
      </c>
      <c r="C9" s="20">
        <v>21</v>
      </c>
      <c r="D9" s="20">
        <v>402</v>
      </c>
      <c r="E9" s="21">
        <f t="shared" si="0"/>
        <v>-0.82203389830508478</v>
      </c>
      <c r="F9" s="21">
        <f t="shared" si="0"/>
        <v>18.142857142857142</v>
      </c>
      <c r="G9" s="22">
        <f t="shared" si="1"/>
        <v>0.84574636963396155</v>
      </c>
      <c r="H9" s="23" t="s">
        <v>140</v>
      </c>
    </row>
    <row r="10" spans="1:8" ht="15.75" customHeight="1" x14ac:dyDescent="0.35">
      <c r="A10" s="19" t="s">
        <v>141</v>
      </c>
      <c r="B10" s="20">
        <v>4349</v>
      </c>
      <c r="C10" s="20">
        <v>4743</v>
      </c>
      <c r="D10" s="20">
        <v>5563</v>
      </c>
      <c r="E10" s="21">
        <f t="shared" si="0"/>
        <v>9.0595539204414807E-2</v>
      </c>
      <c r="F10" s="21">
        <f t="shared" si="0"/>
        <v>0.17288635884461312</v>
      </c>
      <c r="G10" s="22">
        <f t="shared" si="1"/>
        <v>0.13099276343822974</v>
      </c>
      <c r="H10" s="23" t="s">
        <v>142</v>
      </c>
    </row>
    <row r="11" spans="1:8" s="141" customFormat="1" ht="15.75" customHeight="1" x14ac:dyDescent="0.35">
      <c r="A11" s="137" t="s">
        <v>143</v>
      </c>
      <c r="B11" s="138">
        <f>B8+B9+B10</f>
        <v>15258</v>
      </c>
      <c r="C11" s="138">
        <f>C8+C9+C10</f>
        <v>15940</v>
      </c>
      <c r="D11" s="138">
        <f>D8+D9+D10</f>
        <v>17188</v>
      </c>
      <c r="E11" s="139">
        <f>IFERROR((C11-B11)/ABS(B11),"-")</f>
        <v>4.4697863415912961E-2</v>
      </c>
      <c r="F11" s="139">
        <f t="shared" si="0"/>
        <v>7.8293601003764118E-2</v>
      </c>
      <c r="G11" s="139">
        <f t="shared" si="1"/>
        <v>6.1362813133983618E-2</v>
      </c>
      <c r="H11" s="140" t="s">
        <v>144</v>
      </c>
    </row>
    <row r="12" spans="1:8" ht="7.5" customHeight="1" x14ac:dyDescent="0.35"/>
    <row r="13" spans="1:8" ht="18" customHeight="1" x14ac:dyDescent="0.35">
      <c r="A13" s="110" t="s">
        <v>145</v>
      </c>
      <c r="B13" s="110"/>
      <c r="C13" s="110"/>
      <c r="D13" s="110"/>
      <c r="E13" s="110"/>
      <c r="F13" s="110"/>
      <c r="G13" s="110"/>
      <c r="H13" s="110"/>
    </row>
    <row r="14" spans="1:8" ht="15.75" customHeight="1" x14ac:dyDescent="0.35">
      <c r="A14" s="19" t="s">
        <v>146</v>
      </c>
      <c r="B14" s="20">
        <v>1428</v>
      </c>
      <c r="C14" s="20">
        <v>1574</v>
      </c>
      <c r="D14" s="20">
        <v>1922</v>
      </c>
      <c r="E14" s="21">
        <f t="shared" ref="E14:F17" si="2">IFERROR((C14-B14)/ABS(B14),"-")</f>
        <v>0.10224089635854341</v>
      </c>
      <c r="F14" s="21">
        <f t="shared" si="2"/>
        <v>0.22109275730622618</v>
      </c>
      <c r="G14" s="22">
        <f>IFERROR((D14/B14)^(1/2)-1,"-")</f>
        <v>0.16014584227593565</v>
      </c>
      <c r="H14" s="23" t="s">
        <v>147</v>
      </c>
    </row>
    <row r="15" spans="1:8" ht="15.75" customHeight="1" x14ac:dyDescent="0.35">
      <c r="A15" s="19" t="s">
        <v>148</v>
      </c>
      <c r="B15" s="20">
        <v>702</v>
      </c>
      <c r="C15" s="20">
        <v>790</v>
      </c>
      <c r="D15" s="20">
        <v>831</v>
      </c>
      <c r="E15" s="21">
        <f t="shared" si="2"/>
        <v>0.12535612535612536</v>
      </c>
      <c r="F15" s="21">
        <f t="shared" si="2"/>
        <v>5.1898734177215189E-2</v>
      </c>
      <c r="G15" s="22">
        <f>IFERROR((D15/B15)^(1/2)-1,"-")</f>
        <v>8.800766714241659E-2</v>
      </c>
      <c r="H15" s="23" t="s">
        <v>149</v>
      </c>
    </row>
    <row r="16" spans="1:8" ht="15.75" customHeight="1" x14ac:dyDescent="0.35">
      <c r="A16" s="19" t="s">
        <v>150</v>
      </c>
      <c r="B16" s="20">
        <v>798</v>
      </c>
      <c r="C16" s="20">
        <v>819</v>
      </c>
      <c r="D16" s="20">
        <v>814</v>
      </c>
      <c r="E16" s="21">
        <f t="shared" si="2"/>
        <v>2.6315789473684209E-2</v>
      </c>
      <c r="F16" s="21">
        <f t="shared" si="2"/>
        <v>-6.105006105006105E-3</v>
      </c>
      <c r="G16" s="22">
        <f>IFERROR((D16/B16)^(1/2)-1,"-")</f>
        <v>9.9753092592329562E-3</v>
      </c>
      <c r="H16" s="23" t="s">
        <v>151</v>
      </c>
    </row>
    <row r="17" spans="1:8" ht="15.75" customHeight="1" x14ac:dyDescent="0.35">
      <c r="A17" s="24" t="s">
        <v>152</v>
      </c>
      <c r="B17" s="25">
        <f>B14+B15+B16</f>
        <v>2928</v>
      </c>
      <c r="C17" s="25">
        <f>C14+C15+C16</f>
        <v>3183</v>
      </c>
      <c r="D17" s="25">
        <f>D14+D15+D16</f>
        <v>3567</v>
      </c>
      <c r="E17" s="26">
        <f t="shared" si="2"/>
        <v>8.7090163934426229E-2</v>
      </c>
      <c r="F17" s="26">
        <f t="shared" si="2"/>
        <v>0.12064090480678605</v>
      </c>
      <c r="G17" s="27">
        <f>IFERROR((D17/B17)^(1/2)-1,"-")</f>
        <v>0.10373805992093654</v>
      </c>
      <c r="H17" s="23" t="s">
        <v>153</v>
      </c>
    </row>
    <row r="18" spans="1:8" ht="7.5" customHeight="1" x14ac:dyDescent="0.35"/>
    <row r="19" spans="1:8" ht="18" customHeight="1" x14ac:dyDescent="0.35">
      <c r="A19" s="110" t="s">
        <v>154</v>
      </c>
      <c r="B19" s="110"/>
      <c r="C19" s="110"/>
      <c r="D19" s="110"/>
      <c r="E19" s="110"/>
      <c r="F19" s="110"/>
      <c r="G19" s="110"/>
      <c r="H19" s="110"/>
    </row>
    <row r="20" spans="1:8" ht="15.75" customHeight="1" x14ac:dyDescent="0.35">
      <c r="A20" s="19" t="s">
        <v>155</v>
      </c>
      <c r="B20" s="20">
        <v>20</v>
      </c>
      <c r="C20" s="20">
        <v>28</v>
      </c>
      <c r="D20" s="20">
        <v>43</v>
      </c>
      <c r="E20" s="21">
        <f t="shared" ref="E20:E30" si="3">IFERROR((C20-B20)/ABS(B20),"-")</f>
        <v>0.4</v>
      </c>
      <c r="F20" s="21">
        <f t="shared" ref="F20:F30" si="4">IFERROR((D20-C20)/ABS(C20),"-")</f>
        <v>0.5357142857142857</v>
      </c>
      <c r="G20" s="22">
        <f t="shared" ref="G20:G30" si="5">IFERROR((D20/B20)^(1/2)-1,"-")</f>
        <v>0.46628782986151807</v>
      </c>
      <c r="H20" s="23" t="s">
        <v>156</v>
      </c>
    </row>
    <row r="21" spans="1:8" ht="15.75" customHeight="1" x14ac:dyDescent="0.35">
      <c r="A21" s="19" t="s">
        <v>157</v>
      </c>
      <c r="B21" s="20">
        <v>4409</v>
      </c>
      <c r="C21" s="20">
        <v>4792</v>
      </c>
      <c r="D21" s="20">
        <v>5635</v>
      </c>
      <c r="E21" s="21">
        <f t="shared" si="3"/>
        <v>8.6867770469494218E-2</v>
      </c>
      <c r="F21" s="21">
        <f t="shared" si="4"/>
        <v>0.17591819699499164</v>
      </c>
      <c r="G21" s="22">
        <f t="shared" si="5"/>
        <v>0.1305165142634821</v>
      </c>
      <c r="H21" s="23" t="s">
        <v>158</v>
      </c>
    </row>
    <row r="22" spans="1:8" ht="15.75" customHeight="1" x14ac:dyDescent="0.35">
      <c r="A22" s="19" t="s">
        <v>159</v>
      </c>
      <c r="B22" s="20">
        <v>2554</v>
      </c>
      <c r="C22" s="20">
        <v>3255</v>
      </c>
      <c r="D22" s="20">
        <v>3595</v>
      </c>
      <c r="E22" s="21">
        <f t="shared" si="3"/>
        <v>0.27447141738449493</v>
      </c>
      <c r="F22" s="21">
        <f t="shared" si="4"/>
        <v>0.10445468509984639</v>
      </c>
      <c r="G22" s="22">
        <f t="shared" si="5"/>
        <v>0.18642147989496016</v>
      </c>
      <c r="H22" s="23" t="s">
        <v>160</v>
      </c>
    </row>
    <row r="23" spans="1:8" ht="15.75" customHeight="1" x14ac:dyDescent="0.35">
      <c r="A23" s="19" t="s">
        <v>161</v>
      </c>
      <c r="B23" s="20">
        <v>0</v>
      </c>
      <c r="C23" s="20">
        <v>0</v>
      </c>
      <c r="D23" s="20">
        <v>254</v>
      </c>
      <c r="E23" s="21" t="str">
        <f t="shared" si="3"/>
        <v>-</v>
      </c>
      <c r="F23" s="21" t="str">
        <f t="shared" si="4"/>
        <v>-</v>
      </c>
      <c r="G23" s="22" t="str">
        <f t="shared" si="5"/>
        <v>-</v>
      </c>
      <c r="H23" s="23" t="s">
        <v>162</v>
      </c>
    </row>
    <row r="24" spans="1:8" ht="15.75" customHeight="1" x14ac:dyDescent="0.35">
      <c r="A24" s="19" t="s">
        <v>163</v>
      </c>
      <c r="B24" s="20">
        <v>-30</v>
      </c>
      <c r="C24" s="20">
        <v>11</v>
      </c>
      <c r="D24" s="20">
        <v>-343</v>
      </c>
      <c r="E24" s="21">
        <f t="shared" si="3"/>
        <v>1.3666666666666667</v>
      </c>
      <c r="F24" s="21">
        <f t="shared" si="4"/>
        <v>-32.18181818181818</v>
      </c>
      <c r="G24" s="22">
        <f t="shared" si="5"/>
        <v>2.3813212407775355</v>
      </c>
      <c r="H24" s="23" t="s">
        <v>164</v>
      </c>
    </row>
    <row r="25" spans="1:8" ht="15.75" customHeight="1" x14ac:dyDescent="0.35">
      <c r="A25" s="19" t="s">
        <v>165</v>
      </c>
      <c r="B25" s="20">
        <v>408</v>
      </c>
      <c r="C25" s="20">
        <v>500</v>
      </c>
      <c r="D25" s="20">
        <v>492</v>
      </c>
      <c r="E25" s="21">
        <f t="shared" si="3"/>
        <v>0.22549019607843138</v>
      </c>
      <c r="F25" s="21">
        <f t="shared" si="4"/>
        <v>-1.6E-2</v>
      </c>
      <c r="G25" s="22">
        <f t="shared" si="5"/>
        <v>9.8126747211439325E-2</v>
      </c>
      <c r="H25" s="23" t="s">
        <v>166</v>
      </c>
    </row>
    <row r="26" spans="1:8" ht="15.75" customHeight="1" x14ac:dyDescent="0.35">
      <c r="A26" s="19" t="s">
        <v>167</v>
      </c>
      <c r="B26" s="20">
        <v>308</v>
      </c>
      <c r="C26" s="20">
        <v>363</v>
      </c>
      <c r="D26" s="20">
        <v>455</v>
      </c>
      <c r="E26" s="21">
        <f t="shared" si="3"/>
        <v>0.17857142857142858</v>
      </c>
      <c r="F26" s="21">
        <f t="shared" si="4"/>
        <v>0.25344352617079891</v>
      </c>
      <c r="G26" s="22">
        <f t="shared" si="5"/>
        <v>0.21543108701099434</v>
      </c>
      <c r="H26" s="23" t="s">
        <v>168</v>
      </c>
    </row>
    <row r="27" spans="1:8" ht="15.75" customHeight="1" x14ac:dyDescent="0.35">
      <c r="A27" s="19" t="s">
        <v>169</v>
      </c>
      <c r="B27" s="20">
        <v>38</v>
      </c>
      <c r="C27" s="20">
        <v>96</v>
      </c>
      <c r="D27" s="20">
        <v>24</v>
      </c>
      <c r="E27" s="21">
        <f t="shared" si="3"/>
        <v>1.5263157894736843</v>
      </c>
      <c r="F27" s="21">
        <f t="shared" si="4"/>
        <v>-0.75</v>
      </c>
      <c r="G27" s="22">
        <f t="shared" si="5"/>
        <v>-0.20528058576097374</v>
      </c>
      <c r="H27" s="23" t="s">
        <v>170</v>
      </c>
    </row>
    <row r="28" spans="1:8" ht="15.75" customHeight="1" x14ac:dyDescent="0.35">
      <c r="A28" s="19" t="s">
        <v>171</v>
      </c>
      <c r="B28" s="28">
        <v>0</v>
      </c>
      <c r="C28" s="28">
        <v>0</v>
      </c>
      <c r="D28" s="28">
        <v>0</v>
      </c>
      <c r="E28" s="21" t="str">
        <f t="shared" si="3"/>
        <v>-</v>
      </c>
      <c r="F28" s="21" t="str">
        <f t="shared" si="4"/>
        <v>-</v>
      </c>
      <c r="G28" s="22" t="str">
        <f t="shared" si="5"/>
        <v>-</v>
      </c>
      <c r="H28" s="23" t="s">
        <v>172</v>
      </c>
    </row>
    <row r="29" spans="1:8" ht="15.75" customHeight="1" x14ac:dyDescent="0.35">
      <c r="A29" s="19" t="s">
        <v>173</v>
      </c>
      <c r="B29" s="28">
        <v>0</v>
      </c>
      <c r="C29" s="28">
        <v>0</v>
      </c>
      <c r="D29" s="28">
        <v>0</v>
      </c>
      <c r="E29" s="21" t="str">
        <f t="shared" si="3"/>
        <v>-</v>
      </c>
      <c r="F29" s="21" t="str">
        <f t="shared" si="4"/>
        <v>-</v>
      </c>
      <c r="G29" s="22" t="str">
        <f t="shared" si="5"/>
        <v>-</v>
      </c>
      <c r="H29" s="23" t="s">
        <v>174</v>
      </c>
    </row>
    <row r="30" spans="1:8" s="141" customFormat="1" ht="15.75" customHeight="1" x14ac:dyDescent="0.35">
      <c r="A30" s="137" t="s">
        <v>175</v>
      </c>
      <c r="B30" s="138">
        <f>B17+SUM(B20:B29)</f>
        <v>10635</v>
      </c>
      <c r="C30" s="138">
        <f>C17+SUM(C20:C29)</f>
        <v>12228</v>
      </c>
      <c r="D30" s="138">
        <f>D17+SUM(D20:D29)</f>
        <v>13722</v>
      </c>
      <c r="E30" s="139">
        <f t="shared" si="3"/>
        <v>0.14978843441466855</v>
      </c>
      <c r="F30" s="139">
        <f t="shared" si="4"/>
        <v>0.12217860647693818</v>
      </c>
      <c r="G30" s="139">
        <f t="shared" si="5"/>
        <v>0.13589963600432298</v>
      </c>
      <c r="H30" s="140" t="s">
        <v>176</v>
      </c>
    </row>
    <row r="31" spans="1:8" ht="7.5" customHeight="1" x14ac:dyDescent="0.35"/>
    <row r="32" spans="1:8" ht="18" customHeight="1" x14ac:dyDescent="0.35">
      <c r="A32" s="110" t="s">
        <v>177</v>
      </c>
      <c r="B32" s="110"/>
      <c r="C32" s="110"/>
      <c r="D32" s="110"/>
      <c r="E32" s="110"/>
      <c r="F32" s="110"/>
      <c r="G32" s="110"/>
      <c r="H32" s="110"/>
    </row>
    <row r="33" spans="1:8" ht="15.75" customHeight="1" x14ac:dyDescent="0.35">
      <c r="A33" s="24" t="s">
        <v>178</v>
      </c>
      <c r="B33" s="25">
        <f>B11-B30</f>
        <v>4623</v>
      </c>
      <c r="C33" s="25">
        <f>C11-C30</f>
        <v>3712</v>
      </c>
      <c r="D33" s="25">
        <f>D11-D30</f>
        <v>3466</v>
      </c>
      <c r="E33" s="26">
        <f t="shared" ref="E33:F37" si="6">IFERROR((C33-B33)/ABS(B33),"-")</f>
        <v>-0.19705818732424832</v>
      </c>
      <c r="F33" s="26">
        <f t="shared" si="6"/>
        <v>-6.6271551724137928E-2</v>
      </c>
      <c r="G33" s="27">
        <f>IFERROR((D33/B33)^(1/2)-1,"-")</f>
        <v>-0.13413071840748525</v>
      </c>
      <c r="H33" s="23" t="s">
        <v>179</v>
      </c>
    </row>
    <row r="34" spans="1:8" ht="15.75" customHeight="1" x14ac:dyDescent="0.35">
      <c r="A34" s="19" t="s">
        <v>180</v>
      </c>
      <c r="B34" s="20">
        <v>841</v>
      </c>
      <c r="C34" s="20">
        <v>770</v>
      </c>
      <c r="D34" s="20">
        <v>785</v>
      </c>
      <c r="E34" s="21">
        <f t="shared" si="6"/>
        <v>-8.4423305588585018E-2</v>
      </c>
      <c r="F34" s="21">
        <f t="shared" si="6"/>
        <v>1.948051948051948E-2</v>
      </c>
      <c r="G34" s="22">
        <f>IFERROR((D34/B34)^(1/2)-1,"-")</f>
        <v>-3.3867191301937938E-2</v>
      </c>
      <c r="H34" s="23" t="s">
        <v>181</v>
      </c>
    </row>
    <row r="35" spans="1:8" s="141" customFormat="1" ht="15.75" customHeight="1" x14ac:dyDescent="0.35">
      <c r="A35" s="137" t="s">
        <v>182</v>
      </c>
      <c r="B35" s="138">
        <f>B33-B34</f>
        <v>3782</v>
      </c>
      <c r="C35" s="138">
        <f>C33-C34</f>
        <v>2942</v>
      </c>
      <c r="D35" s="138">
        <f>D33-D34</f>
        <v>2681</v>
      </c>
      <c r="E35" s="139">
        <f t="shared" si="6"/>
        <v>-0.22210470650449499</v>
      </c>
      <c r="F35" s="139">
        <f t="shared" si="6"/>
        <v>-8.871515975526853E-2</v>
      </c>
      <c r="G35" s="139">
        <f>IFERROR((D35/B35)^(1/2)-1,"-")</f>
        <v>-0.15804739547871227</v>
      </c>
      <c r="H35" s="140" t="s">
        <v>183</v>
      </c>
    </row>
    <row r="36" spans="1:8" ht="15.75" customHeight="1" x14ac:dyDescent="0.35">
      <c r="A36" s="19" t="s">
        <v>184</v>
      </c>
      <c r="B36" s="20">
        <v>35</v>
      </c>
      <c r="C36" s="20">
        <v>51</v>
      </c>
      <c r="D36" s="20">
        <v>39</v>
      </c>
      <c r="E36" s="21">
        <f t="shared" si="6"/>
        <v>0.45714285714285713</v>
      </c>
      <c r="F36" s="21">
        <f t="shared" si="6"/>
        <v>-0.23529411764705882</v>
      </c>
      <c r="G36" s="22">
        <f>IFERROR((D36/B36)^(1/2)-1,"-")</f>
        <v>5.5597325823495192E-2</v>
      </c>
      <c r="H36" s="23" t="s">
        <v>185</v>
      </c>
    </row>
    <row r="37" spans="1:8" s="141" customFormat="1" ht="15.75" customHeight="1" x14ac:dyDescent="0.35">
      <c r="A37" s="137" t="s">
        <v>186</v>
      </c>
      <c r="B37" s="138">
        <f>B35-B36</f>
        <v>3747</v>
      </c>
      <c r="C37" s="138">
        <f>C35-C36</f>
        <v>2891</v>
      </c>
      <c r="D37" s="138">
        <f>D35-D36</f>
        <v>2642</v>
      </c>
      <c r="E37" s="139">
        <f t="shared" si="6"/>
        <v>-0.22844942620763278</v>
      </c>
      <c r="F37" s="139">
        <f t="shared" si="6"/>
        <v>-8.612936700103771E-2</v>
      </c>
      <c r="G37" s="139">
        <f>IFERROR((D37/B37)^(1/2)-1,"-")</f>
        <v>-0.16029921325370722</v>
      </c>
      <c r="H37" s="140" t="s">
        <v>187</v>
      </c>
    </row>
    <row r="38" spans="1:8" ht="7.5" customHeight="1" x14ac:dyDescent="0.35"/>
    <row r="39" spans="1:8" ht="18" customHeight="1" x14ac:dyDescent="0.35">
      <c r="A39" s="110" t="s">
        <v>188</v>
      </c>
      <c r="B39" s="110"/>
      <c r="C39" s="110"/>
      <c r="D39" s="110"/>
      <c r="E39" s="110"/>
      <c r="F39" s="110"/>
      <c r="G39" s="110"/>
      <c r="H39" s="110"/>
    </row>
    <row r="40" spans="1:8" ht="15.75" customHeight="1" x14ac:dyDescent="0.35">
      <c r="A40" s="19" t="s">
        <v>189</v>
      </c>
      <c r="B40" s="20">
        <v>-8</v>
      </c>
      <c r="C40" s="20">
        <v>2</v>
      </c>
      <c r="D40" s="20">
        <v>0</v>
      </c>
      <c r="E40" s="21">
        <f>IFERROR((C40-B40)/ABS(B40),"-")</f>
        <v>1.25</v>
      </c>
      <c r="F40" s="21">
        <f>IFERROR((D40-C40)/ABS(C40),"-")</f>
        <v>-1</v>
      </c>
      <c r="G40" s="22">
        <f>IFERROR((D40/B40)^(1/2)-1,"-")</f>
        <v>-1</v>
      </c>
      <c r="H40" s="23" t="s">
        <v>190</v>
      </c>
    </row>
    <row r="41" spans="1:8" s="141" customFormat="1" ht="15.75" customHeight="1" x14ac:dyDescent="0.35">
      <c r="A41" s="137" t="s">
        <v>191</v>
      </c>
      <c r="B41" s="138">
        <f>B35+B40</f>
        <v>3774</v>
      </c>
      <c r="C41" s="138">
        <f>C35+C40</f>
        <v>2944</v>
      </c>
      <c r="D41" s="138">
        <f>D35+D40</f>
        <v>2681</v>
      </c>
      <c r="E41" s="139">
        <f>IFERROR((C41-B41)/ABS(B41),"-")</f>
        <v>-0.21992580816110227</v>
      </c>
      <c r="F41" s="139">
        <f>IFERROR((D41-C41)/ABS(C41),"-")</f>
        <v>-8.9334239130434784E-2</v>
      </c>
      <c r="G41" s="139">
        <f>IFERROR((D41/B41)^(1/2)-1,"-")</f>
        <v>-0.15715549628316317</v>
      </c>
      <c r="H41" s="140" t="s">
        <v>192</v>
      </c>
    </row>
    <row r="42" spans="1:8" ht="7.5" customHeight="1" x14ac:dyDescent="0.35"/>
    <row r="43" spans="1:8" ht="18" customHeight="1" x14ac:dyDescent="0.35">
      <c r="A43" s="110" t="s">
        <v>193</v>
      </c>
      <c r="B43" s="110"/>
      <c r="C43" s="110"/>
      <c r="D43" s="110"/>
      <c r="E43" s="110"/>
      <c r="F43" s="110"/>
      <c r="G43" s="110"/>
      <c r="H43" s="110"/>
    </row>
    <row r="44" spans="1:8" ht="15.75" customHeight="1" x14ac:dyDescent="0.35">
      <c r="A44" s="19" t="s">
        <v>194</v>
      </c>
      <c r="B44" s="29">
        <v>5.86</v>
      </c>
      <c r="C44" s="29">
        <v>4.58</v>
      </c>
      <c r="D44" s="29">
        <v>4.18</v>
      </c>
      <c r="E44" s="21">
        <f>IFERROR((C44-B44)/ABS(B44),"-")</f>
        <v>-0.21843003412969286</v>
      </c>
      <c r="F44" s="21">
        <f>IFERROR((D44-C44)/ABS(C44),"-")</f>
        <v>-8.7336244541484795E-2</v>
      </c>
      <c r="G44" s="22">
        <f>IFERROR((D44/B44)^(1/2)-1,"-")</f>
        <v>-0.155422839401409</v>
      </c>
      <c r="H44" s="30" t="s">
        <v>195</v>
      </c>
    </row>
    <row r="45" spans="1:8" ht="15.75" customHeight="1" x14ac:dyDescent="0.35">
      <c r="A45" s="19" t="s">
        <v>196</v>
      </c>
      <c r="B45" s="29">
        <v>5.84</v>
      </c>
      <c r="C45" s="29">
        <v>4.5599999999999996</v>
      </c>
      <c r="D45" s="29">
        <v>4.17</v>
      </c>
      <c r="E45" s="21">
        <f>IFERROR((C45-B45)/ABS(B45),"-")</f>
        <v>-0.21917808219178087</v>
      </c>
      <c r="F45" s="21">
        <f>IFERROR((D45-C45)/ABS(C45),"-")</f>
        <v>-8.5526315789473617E-2</v>
      </c>
      <c r="G45" s="22">
        <f>IFERROR((D45/B45)^(1/2)-1,"-")</f>
        <v>-0.15499047585816472</v>
      </c>
      <c r="H45" s="30" t="s">
        <v>195</v>
      </c>
    </row>
    <row r="46" spans="1:8" ht="15.75" customHeight="1" x14ac:dyDescent="0.35">
      <c r="A46" s="19" t="s">
        <v>197</v>
      </c>
      <c r="B46" s="29">
        <v>2.93</v>
      </c>
      <c r="C46" s="29">
        <v>1.45</v>
      </c>
      <c r="D46" s="29">
        <v>0.97</v>
      </c>
      <c r="H46" s="30" t="s">
        <v>198</v>
      </c>
    </row>
    <row r="47" spans="1:8" ht="15.75" customHeight="1" x14ac:dyDescent="0.35">
      <c r="A47" s="19" t="s">
        <v>199</v>
      </c>
      <c r="B47" s="31">
        <v>639</v>
      </c>
      <c r="C47" s="31">
        <v>631</v>
      </c>
      <c r="D47" s="31">
        <v>632</v>
      </c>
      <c r="H47" s="30" t="s">
        <v>200</v>
      </c>
    </row>
    <row r="48" spans="1:8" ht="7.5" customHeight="1" x14ac:dyDescent="0.35"/>
    <row r="49" spans="1:8" ht="18" customHeight="1" x14ac:dyDescent="0.35">
      <c r="A49" s="110" t="s">
        <v>201</v>
      </c>
      <c r="B49" s="110"/>
      <c r="C49" s="110"/>
      <c r="D49" s="110"/>
      <c r="E49" s="110"/>
      <c r="F49" s="110"/>
      <c r="G49" s="110"/>
      <c r="H49" s="110"/>
    </row>
    <row r="50" spans="1:8" ht="16.5" customHeight="1" x14ac:dyDescent="0.35">
      <c r="A50" s="24" t="s">
        <v>202</v>
      </c>
      <c r="B50" s="25">
        <f>B35+B34+B29+B28+B26</f>
        <v>4931</v>
      </c>
      <c r="C50" s="25">
        <f>C35+C34+C29+C28+C26</f>
        <v>4075</v>
      </c>
      <c r="D50" s="25">
        <f>D35+D34+D29+D28+D26</f>
        <v>3921</v>
      </c>
    </row>
    <row r="51" spans="1:8" ht="16.5" customHeight="1" x14ac:dyDescent="0.35">
      <c r="A51" s="24" t="s">
        <v>203</v>
      </c>
      <c r="B51" s="32">
        <v>7534</v>
      </c>
      <c r="C51" s="32">
        <v>7739</v>
      </c>
      <c r="D51" s="32">
        <v>7413</v>
      </c>
      <c r="H51" s="30" t="s">
        <v>204</v>
      </c>
    </row>
    <row r="54" spans="1:8" ht="21.75" customHeight="1" x14ac:dyDescent="0.35">
      <c r="A54" s="142" t="s">
        <v>854</v>
      </c>
      <c r="B54" s="111"/>
      <c r="C54" s="111"/>
      <c r="D54" s="111"/>
      <c r="E54" s="111"/>
      <c r="F54" s="111"/>
      <c r="G54" s="111"/>
      <c r="H54" s="111"/>
    </row>
  </sheetData>
  <mergeCells count="10">
    <mergeCell ref="A1:H1"/>
    <mergeCell ref="A2:H2"/>
    <mergeCell ref="A4:H4"/>
    <mergeCell ref="A13:H13"/>
    <mergeCell ref="A19:H19"/>
    <mergeCell ref="A32:H32"/>
    <mergeCell ref="A39:H39"/>
    <mergeCell ref="A43:H43"/>
    <mergeCell ref="A49:H49"/>
    <mergeCell ref="A54:H5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showGridLines="0" zoomScale="85" zoomScaleNormal="85" workbookViewId="0">
      <selection activeCell="A62" sqref="A62"/>
    </sheetView>
  </sheetViews>
  <sheetFormatPr defaultColWidth="8.6328125" defaultRowHeight="14.5" x14ac:dyDescent="0.35"/>
  <cols>
    <col min="1" max="1" width="50.26953125" customWidth="1"/>
    <col min="2" max="4" width="18" customWidth="1"/>
    <col min="5" max="6" width="14" customWidth="1"/>
    <col min="7" max="7" width="69.90625" customWidth="1"/>
  </cols>
  <sheetData>
    <row r="1" spans="1:7" ht="30" customHeight="1" x14ac:dyDescent="0.35">
      <c r="A1" s="136" t="s">
        <v>856</v>
      </c>
      <c r="B1" s="112"/>
      <c r="C1" s="112"/>
      <c r="D1" s="112"/>
      <c r="E1" s="112"/>
      <c r="F1" s="112"/>
      <c r="G1" s="112"/>
    </row>
    <row r="2" spans="1:7" ht="18" customHeight="1" x14ac:dyDescent="0.35">
      <c r="A2" s="113" t="s">
        <v>205</v>
      </c>
      <c r="B2" s="113"/>
      <c r="C2" s="113"/>
      <c r="D2" s="113"/>
      <c r="E2" s="113"/>
      <c r="F2" s="113"/>
      <c r="G2" s="113"/>
    </row>
    <row r="3" spans="1:7" ht="38" customHeight="1" x14ac:dyDescent="0.35">
      <c r="A3" s="143" t="s">
        <v>206</v>
      </c>
      <c r="B3" s="116"/>
      <c r="C3" s="116"/>
      <c r="D3" s="116"/>
      <c r="E3" s="116"/>
      <c r="F3" s="116"/>
    </row>
    <row r="4" spans="1:7" ht="32.5" customHeight="1" x14ac:dyDescent="0.35">
      <c r="A4" s="18" t="s">
        <v>124</v>
      </c>
      <c r="B4" s="18" t="s">
        <v>207</v>
      </c>
      <c r="C4" s="18" t="s">
        <v>208</v>
      </c>
      <c r="D4" s="18" t="s">
        <v>209</v>
      </c>
      <c r="E4" s="18" t="s">
        <v>210</v>
      </c>
      <c r="F4" s="18" t="s">
        <v>211</v>
      </c>
      <c r="G4" s="18" t="s">
        <v>212</v>
      </c>
    </row>
    <row r="5" spans="1:7" ht="17.5" customHeight="1" x14ac:dyDescent="0.35">
      <c r="A5" s="115" t="s">
        <v>213</v>
      </c>
      <c r="B5" s="115"/>
      <c r="C5" s="115"/>
      <c r="D5" s="115"/>
      <c r="E5" s="115"/>
      <c r="F5" s="115"/>
      <c r="G5" s="115"/>
    </row>
    <row r="6" spans="1:7" ht="18" customHeight="1" x14ac:dyDescent="0.35">
      <c r="A6" s="110" t="s">
        <v>214</v>
      </c>
      <c r="B6" s="110"/>
      <c r="C6" s="110"/>
      <c r="D6" s="110"/>
      <c r="E6" s="110"/>
      <c r="F6" s="110"/>
      <c r="G6" s="110"/>
    </row>
    <row r="7" spans="1:7" ht="15.75" customHeight="1" x14ac:dyDescent="0.35">
      <c r="A7" s="19" t="s">
        <v>215</v>
      </c>
      <c r="B7" s="20">
        <v>875</v>
      </c>
      <c r="C7" s="20">
        <v>846</v>
      </c>
      <c r="D7" s="20">
        <v>1434</v>
      </c>
      <c r="E7" s="21">
        <f t="shared" ref="E7:E12" si="0">IFERROR((D7-C7)/ABS(C7),"-")</f>
        <v>0.69503546099290781</v>
      </c>
      <c r="F7" s="21">
        <f t="shared" ref="F7:F12" si="1">IFERROR((D7-B7)/ABS(B7),"-")</f>
        <v>0.6388571428571429</v>
      </c>
      <c r="G7" s="23" t="s">
        <v>216</v>
      </c>
    </row>
    <row r="8" spans="1:7" ht="15.75" customHeight="1" x14ac:dyDescent="0.35">
      <c r="A8" s="19" t="s">
        <v>217</v>
      </c>
      <c r="B8" s="20">
        <v>1450</v>
      </c>
      <c r="C8" s="20">
        <v>1972</v>
      </c>
      <c r="D8" s="20">
        <v>1792</v>
      </c>
      <c r="E8" s="21">
        <f t="shared" si="0"/>
        <v>-9.1277890466531439E-2</v>
      </c>
      <c r="F8" s="21">
        <f t="shared" si="1"/>
        <v>0.23586206896551723</v>
      </c>
      <c r="G8" s="23" t="s">
        <v>218</v>
      </c>
    </row>
    <row r="9" spans="1:7" ht="15.75" customHeight="1" x14ac:dyDescent="0.35">
      <c r="A9" s="19" t="s">
        <v>219</v>
      </c>
      <c r="B9" s="20">
        <v>200</v>
      </c>
      <c r="C9" s="20">
        <v>294</v>
      </c>
      <c r="D9" s="20">
        <v>336</v>
      </c>
      <c r="E9" s="21">
        <f t="shared" si="0"/>
        <v>0.14285714285714285</v>
      </c>
      <c r="F9" s="21">
        <f t="shared" si="1"/>
        <v>0.68</v>
      </c>
      <c r="G9" s="23" t="s">
        <v>220</v>
      </c>
    </row>
    <row r="10" spans="1:7" ht="15.75" customHeight="1" x14ac:dyDescent="0.35">
      <c r="A10" s="19" t="s">
        <v>221</v>
      </c>
      <c r="B10" s="20">
        <v>150</v>
      </c>
      <c r="C10" s="20">
        <v>200</v>
      </c>
      <c r="D10" s="20">
        <v>280</v>
      </c>
      <c r="E10" s="21">
        <f t="shared" si="0"/>
        <v>0.4</v>
      </c>
      <c r="F10" s="21">
        <f t="shared" si="1"/>
        <v>0.8666666666666667</v>
      </c>
      <c r="G10" s="23" t="s">
        <v>222</v>
      </c>
    </row>
    <row r="11" spans="1:7" ht="15.75" customHeight="1" x14ac:dyDescent="0.35">
      <c r="A11" s="19" t="s">
        <v>223</v>
      </c>
      <c r="B11" s="20">
        <v>100</v>
      </c>
      <c r="C11" s="20">
        <v>115</v>
      </c>
      <c r="D11" s="20">
        <v>164</v>
      </c>
      <c r="E11" s="21">
        <f t="shared" si="0"/>
        <v>0.42608695652173911</v>
      </c>
      <c r="F11" s="21">
        <f t="shared" si="1"/>
        <v>0.64</v>
      </c>
      <c r="G11" s="23" t="s">
        <v>224</v>
      </c>
    </row>
    <row r="12" spans="1:7" s="148" customFormat="1" ht="15.75" customHeight="1" x14ac:dyDescent="0.35">
      <c r="A12" s="144" t="s">
        <v>225</v>
      </c>
      <c r="B12" s="145">
        <f>SUM(B7:B11)</f>
        <v>2775</v>
      </c>
      <c r="C12" s="145">
        <v>3427</v>
      </c>
      <c r="D12" s="145">
        <v>4006</v>
      </c>
      <c r="E12" s="146">
        <f t="shared" si="0"/>
        <v>0.16895243653341116</v>
      </c>
      <c r="F12" s="146">
        <f t="shared" si="1"/>
        <v>0.44360360360360362</v>
      </c>
      <c r="G12" s="147" t="s">
        <v>226</v>
      </c>
    </row>
    <row r="13" spans="1:7" ht="18" customHeight="1" x14ac:dyDescent="0.35">
      <c r="A13" s="110" t="s">
        <v>227</v>
      </c>
      <c r="B13" s="110"/>
      <c r="C13" s="110"/>
      <c r="D13" s="110"/>
      <c r="E13" s="110"/>
      <c r="F13" s="110"/>
      <c r="G13" s="110"/>
    </row>
    <row r="14" spans="1:7" ht="15.75" customHeight="1" x14ac:dyDescent="0.35">
      <c r="A14" s="19" t="s">
        <v>228</v>
      </c>
      <c r="B14" s="20">
        <v>18100</v>
      </c>
      <c r="C14" s="20">
        <v>23198</v>
      </c>
      <c r="D14" s="20">
        <v>23731</v>
      </c>
      <c r="E14" s="21">
        <f t="shared" ref="E14:E22" si="2">IFERROR((D14-C14)/ABS(C14),"-")</f>
        <v>2.2976118630916458E-2</v>
      </c>
      <c r="F14" s="21">
        <f t="shared" ref="F14:F22" si="3">IFERROR((D14-B14)/ABS(B14),"-")</f>
        <v>0.31110497237569062</v>
      </c>
      <c r="G14" s="23" t="s">
        <v>229</v>
      </c>
    </row>
    <row r="15" spans="1:7" ht="15.75" customHeight="1" x14ac:dyDescent="0.35">
      <c r="A15" s="19" t="s">
        <v>230</v>
      </c>
      <c r="B15" s="20">
        <v>1532</v>
      </c>
      <c r="C15" s="20">
        <v>1813</v>
      </c>
      <c r="D15" s="20">
        <v>1688</v>
      </c>
      <c r="E15" s="21">
        <f t="shared" si="2"/>
        <v>-6.8946497517926086E-2</v>
      </c>
      <c r="F15" s="21">
        <f t="shared" si="3"/>
        <v>0.10182767624020887</v>
      </c>
      <c r="G15" s="23" t="s">
        <v>231</v>
      </c>
    </row>
    <row r="16" spans="1:7" ht="15.75" customHeight="1" x14ac:dyDescent="0.35">
      <c r="A16" s="19" t="s">
        <v>232</v>
      </c>
      <c r="B16" s="20">
        <v>753</v>
      </c>
      <c r="C16" s="20">
        <v>753</v>
      </c>
      <c r="D16" s="20">
        <v>753</v>
      </c>
      <c r="E16" s="21">
        <f t="shared" si="2"/>
        <v>0</v>
      </c>
      <c r="F16" s="21">
        <f t="shared" si="3"/>
        <v>0</v>
      </c>
      <c r="G16" s="23" t="s">
        <v>233</v>
      </c>
    </row>
    <row r="17" spans="1:7" ht="15.75" customHeight="1" x14ac:dyDescent="0.35">
      <c r="A17" s="19" t="s">
        <v>234</v>
      </c>
      <c r="B17" s="20">
        <v>260</v>
      </c>
      <c r="C17" s="20">
        <v>303</v>
      </c>
      <c r="D17" s="20">
        <v>299</v>
      </c>
      <c r="E17" s="21">
        <f t="shared" si="2"/>
        <v>-1.3201320132013201E-2</v>
      </c>
      <c r="F17" s="21">
        <f t="shared" si="3"/>
        <v>0.15</v>
      </c>
      <c r="G17" s="23" t="s">
        <v>235</v>
      </c>
    </row>
    <row r="18" spans="1:7" ht="15.75" customHeight="1" x14ac:dyDescent="0.35">
      <c r="A18" s="19" t="s">
        <v>236</v>
      </c>
      <c r="B18" s="20">
        <v>720</v>
      </c>
      <c r="C18" s="20">
        <v>727</v>
      </c>
      <c r="D18" s="20">
        <v>727</v>
      </c>
      <c r="E18" s="21">
        <f t="shared" si="2"/>
        <v>0</v>
      </c>
      <c r="F18" s="21">
        <f t="shared" si="3"/>
        <v>9.7222222222222224E-3</v>
      </c>
      <c r="G18" s="23" t="s">
        <v>237</v>
      </c>
    </row>
    <row r="19" spans="1:7" ht="15.75" customHeight="1" x14ac:dyDescent="0.35">
      <c r="A19" s="19" t="s">
        <v>238</v>
      </c>
      <c r="B19" s="20">
        <v>0</v>
      </c>
      <c r="C19" s="20">
        <v>0</v>
      </c>
      <c r="D19" s="20">
        <v>0</v>
      </c>
      <c r="E19" s="21" t="str">
        <f t="shared" si="2"/>
        <v>-</v>
      </c>
      <c r="F19" s="21" t="str">
        <f t="shared" si="3"/>
        <v>-</v>
      </c>
      <c r="G19" s="23" t="s">
        <v>239</v>
      </c>
    </row>
    <row r="20" spans="1:7" ht="15.75" customHeight="1" x14ac:dyDescent="0.35">
      <c r="A20" s="19" t="s">
        <v>240</v>
      </c>
      <c r="B20" s="20">
        <v>350</v>
      </c>
      <c r="C20" s="20">
        <v>268</v>
      </c>
      <c r="D20" s="20">
        <v>395</v>
      </c>
      <c r="E20" s="21">
        <f t="shared" si="2"/>
        <v>0.47388059701492535</v>
      </c>
      <c r="F20" s="21">
        <f t="shared" si="3"/>
        <v>0.12857142857142856</v>
      </c>
      <c r="G20" s="23" t="s">
        <v>241</v>
      </c>
    </row>
    <row r="21" spans="1:7" s="153" customFormat="1" ht="15.75" customHeight="1" x14ac:dyDescent="0.35">
      <c r="A21" s="149" t="s">
        <v>242</v>
      </c>
      <c r="B21" s="150">
        <f>SUM(B14:B20)</f>
        <v>21715</v>
      </c>
      <c r="C21" s="150">
        <f>SUM(C14:C20)</f>
        <v>27062</v>
      </c>
      <c r="D21" s="150">
        <f>SUM(D14:D20)</f>
        <v>27593</v>
      </c>
      <c r="E21" s="151">
        <f t="shared" si="2"/>
        <v>1.9621609637129556E-2</v>
      </c>
      <c r="F21" s="151">
        <f t="shared" si="3"/>
        <v>0.27068846419525672</v>
      </c>
      <c r="G21" s="152" t="s">
        <v>243</v>
      </c>
    </row>
    <row r="22" spans="1:7" s="141" customFormat="1" ht="15.75" customHeight="1" x14ac:dyDescent="0.35">
      <c r="A22" s="137" t="s">
        <v>244</v>
      </c>
      <c r="B22" s="138">
        <f>B12+B21</f>
        <v>24490</v>
      </c>
      <c r="C22" s="138">
        <f>C12+C21</f>
        <v>30489</v>
      </c>
      <c r="D22" s="138">
        <f>D12+D21</f>
        <v>31599</v>
      </c>
      <c r="E22" s="139">
        <f t="shared" si="2"/>
        <v>3.6406572862343799E-2</v>
      </c>
      <c r="F22" s="139">
        <f t="shared" si="3"/>
        <v>0.29028174765210291</v>
      </c>
      <c r="G22" s="140" t="s">
        <v>245</v>
      </c>
    </row>
    <row r="23" spans="1:7" ht="9.75" customHeight="1" x14ac:dyDescent="0.35"/>
    <row r="24" spans="1:7" ht="18" customHeight="1" x14ac:dyDescent="0.35">
      <c r="A24" s="115" t="s">
        <v>246</v>
      </c>
      <c r="B24" s="115"/>
      <c r="C24" s="115"/>
      <c r="D24" s="115"/>
      <c r="E24" s="115"/>
      <c r="F24" s="115"/>
      <c r="G24" s="115"/>
    </row>
    <row r="25" spans="1:7" ht="18" customHeight="1" x14ac:dyDescent="0.35">
      <c r="A25" s="110" t="s">
        <v>247</v>
      </c>
      <c r="B25" s="110"/>
      <c r="C25" s="110"/>
      <c r="D25" s="110"/>
      <c r="E25" s="110"/>
      <c r="F25" s="110"/>
      <c r="G25" s="110"/>
    </row>
    <row r="26" spans="1:7" ht="15.75" customHeight="1" x14ac:dyDescent="0.35">
      <c r="A26" s="19" t="s">
        <v>248</v>
      </c>
      <c r="B26" s="20">
        <v>650</v>
      </c>
      <c r="C26" s="20">
        <v>806</v>
      </c>
      <c r="D26" s="20">
        <v>790</v>
      </c>
      <c r="E26" s="21">
        <f t="shared" ref="E26:E33" si="4">IFERROR((D26-C26)/ABS(C26),"-")</f>
        <v>-1.9851116625310174E-2</v>
      </c>
      <c r="F26" s="21">
        <f t="shared" ref="F26:F33" si="5">IFERROR((D26-B26)/ABS(B26),"-")</f>
        <v>0.2153846153846154</v>
      </c>
      <c r="G26" s="23" t="s">
        <v>249</v>
      </c>
    </row>
    <row r="27" spans="1:7" ht="15.75" customHeight="1" x14ac:dyDescent="0.35">
      <c r="A27" s="19" t="s">
        <v>250</v>
      </c>
      <c r="B27" s="20">
        <v>900</v>
      </c>
      <c r="C27" s="20">
        <v>1432</v>
      </c>
      <c r="D27" s="20">
        <v>1491</v>
      </c>
      <c r="E27" s="21">
        <f t="shared" si="4"/>
        <v>4.1201117318435752E-2</v>
      </c>
      <c r="F27" s="21">
        <f t="shared" si="5"/>
        <v>0.65666666666666662</v>
      </c>
      <c r="G27" s="23" t="s">
        <v>251</v>
      </c>
    </row>
    <row r="28" spans="1:7" ht="15.75" customHeight="1" x14ac:dyDescent="0.35">
      <c r="A28" s="19" t="s">
        <v>252</v>
      </c>
      <c r="B28" s="20">
        <v>0</v>
      </c>
      <c r="C28" s="20">
        <v>485</v>
      </c>
      <c r="D28" s="20">
        <v>998</v>
      </c>
      <c r="E28" s="21">
        <f t="shared" si="4"/>
        <v>1.0577319587628866</v>
      </c>
      <c r="F28" s="21" t="str">
        <f t="shared" si="5"/>
        <v>-</v>
      </c>
      <c r="G28" s="23" t="s">
        <v>253</v>
      </c>
    </row>
    <row r="29" spans="1:7" ht="15.75" customHeight="1" x14ac:dyDescent="0.35">
      <c r="A29" s="19" t="s">
        <v>254</v>
      </c>
      <c r="B29" s="20">
        <v>50</v>
      </c>
      <c r="C29" s="20">
        <v>80</v>
      </c>
      <c r="D29" s="20">
        <v>120</v>
      </c>
      <c r="E29" s="21">
        <f t="shared" si="4"/>
        <v>0.5</v>
      </c>
      <c r="F29" s="21">
        <f t="shared" si="5"/>
        <v>1.4</v>
      </c>
      <c r="G29" s="23" t="s">
        <v>255</v>
      </c>
    </row>
    <row r="30" spans="1:7" ht="15.75" customHeight="1" x14ac:dyDescent="0.35">
      <c r="A30" s="19" t="s">
        <v>256</v>
      </c>
      <c r="B30" s="20">
        <v>100</v>
      </c>
      <c r="C30" s="20">
        <v>0</v>
      </c>
      <c r="D30" s="20">
        <v>0</v>
      </c>
      <c r="E30" s="21" t="str">
        <f t="shared" si="4"/>
        <v>-</v>
      </c>
      <c r="F30" s="21">
        <f t="shared" si="5"/>
        <v>-1</v>
      </c>
      <c r="G30" s="23" t="s">
        <v>257</v>
      </c>
    </row>
    <row r="31" spans="1:7" ht="15.75" customHeight="1" x14ac:dyDescent="0.35">
      <c r="A31" s="19" t="s">
        <v>258</v>
      </c>
      <c r="B31" s="20">
        <v>200</v>
      </c>
      <c r="C31" s="20">
        <v>250</v>
      </c>
      <c r="D31" s="20">
        <v>280</v>
      </c>
      <c r="E31" s="21">
        <f t="shared" si="4"/>
        <v>0.12</v>
      </c>
      <c r="F31" s="21">
        <f t="shared" si="5"/>
        <v>0.4</v>
      </c>
      <c r="G31" s="23" t="s">
        <v>259</v>
      </c>
    </row>
    <row r="32" spans="1:7" ht="15.75" customHeight="1" x14ac:dyDescent="0.35">
      <c r="A32" s="19" t="s">
        <v>260</v>
      </c>
      <c r="B32" s="20">
        <v>100</v>
      </c>
      <c r="C32" s="20">
        <v>256</v>
      </c>
      <c r="D32" s="20">
        <v>407</v>
      </c>
      <c r="E32" s="21">
        <f t="shared" si="4"/>
        <v>0.58984375</v>
      </c>
      <c r="F32" s="21">
        <f t="shared" si="5"/>
        <v>3.07</v>
      </c>
      <c r="G32" s="23" t="s">
        <v>261</v>
      </c>
    </row>
    <row r="33" spans="1:7" s="153" customFormat="1" ht="15.75" customHeight="1" x14ac:dyDescent="0.35">
      <c r="A33" s="149" t="s">
        <v>262</v>
      </c>
      <c r="B33" s="150">
        <f>SUM(B26:B32)</f>
        <v>2000</v>
      </c>
      <c r="C33" s="150">
        <v>3309</v>
      </c>
      <c r="D33" s="150">
        <v>4086</v>
      </c>
      <c r="E33" s="151">
        <f t="shared" si="4"/>
        <v>0.23481414324569355</v>
      </c>
      <c r="F33" s="151">
        <f t="shared" si="5"/>
        <v>1.0429999999999999</v>
      </c>
      <c r="G33" s="152" t="s">
        <v>263</v>
      </c>
    </row>
    <row r="34" spans="1:7" ht="18" customHeight="1" x14ac:dyDescent="0.35">
      <c r="A34" s="110" t="s">
        <v>264</v>
      </c>
      <c r="B34" s="110"/>
      <c r="C34" s="110"/>
      <c r="D34" s="110"/>
      <c r="E34" s="110"/>
      <c r="F34" s="110"/>
      <c r="G34" s="110"/>
    </row>
    <row r="35" spans="1:7" ht="15.75" customHeight="1" x14ac:dyDescent="0.35">
      <c r="A35" s="19" t="s">
        <v>265</v>
      </c>
      <c r="B35" s="20">
        <v>6136</v>
      </c>
      <c r="C35" s="20">
        <v>8398</v>
      </c>
      <c r="D35" s="20">
        <v>7391</v>
      </c>
      <c r="E35" s="21">
        <f t="shared" ref="E35:E42" si="6">IFERROR((D35-C35)/ABS(C35),"-")</f>
        <v>-0.11990950226244344</v>
      </c>
      <c r="F35" s="21">
        <f t="shared" ref="F35:F42" si="7">IFERROR((D35-B35)/ABS(B35),"-")</f>
        <v>0.20453063885267275</v>
      </c>
      <c r="G35" s="23" t="s">
        <v>266</v>
      </c>
    </row>
    <row r="36" spans="1:7" ht="15.75" customHeight="1" x14ac:dyDescent="0.35">
      <c r="A36" s="19" t="s">
        <v>267</v>
      </c>
      <c r="B36" s="20">
        <v>270</v>
      </c>
      <c r="C36" s="20">
        <v>320</v>
      </c>
      <c r="D36" s="20">
        <v>197</v>
      </c>
      <c r="E36" s="21">
        <f t="shared" si="6"/>
        <v>-0.38437500000000002</v>
      </c>
      <c r="F36" s="21">
        <f t="shared" si="7"/>
        <v>-0.27037037037037037</v>
      </c>
      <c r="G36" s="23" t="s">
        <v>268</v>
      </c>
    </row>
    <row r="37" spans="1:7" ht="15.75" customHeight="1" x14ac:dyDescent="0.35">
      <c r="A37" s="19" t="s">
        <v>269</v>
      </c>
      <c r="B37" s="20">
        <v>700</v>
      </c>
      <c r="C37" s="20">
        <v>770</v>
      </c>
      <c r="D37" s="20">
        <v>863</v>
      </c>
      <c r="E37" s="21">
        <f t="shared" si="6"/>
        <v>0.12077922077922078</v>
      </c>
      <c r="F37" s="21">
        <f t="shared" si="7"/>
        <v>0.23285714285714285</v>
      </c>
      <c r="G37" s="23" t="s">
        <v>270</v>
      </c>
    </row>
    <row r="38" spans="1:7" ht="15.75" customHeight="1" x14ac:dyDescent="0.35">
      <c r="A38" s="19" t="s">
        <v>271</v>
      </c>
      <c r="B38" s="20">
        <v>2367</v>
      </c>
      <c r="C38" s="20">
        <v>2148</v>
      </c>
      <c r="D38" s="20">
        <v>2627</v>
      </c>
      <c r="E38" s="21">
        <f t="shared" si="6"/>
        <v>0.22299813780260708</v>
      </c>
      <c r="F38" s="21">
        <f t="shared" si="7"/>
        <v>0.10984368398817068</v>
      </c>
      <c r="G38" s="23" t="s">
        <v>272</v>
      </c>
    </row>
    <row r="39" spans="1:7" ht="15.75" customHeight="1" x14ac:dyDescent="0.35">
      <c r="A39" s="19" t="s">
        <v>273</v>
      </c>
      <c r="B39" s="20">
        <v>100</v>
      </c>
      <c r="C39" s="20">
        <v>120</v>
      </c>
      <c r="D39" s="20">
        <v>150</v>
      </c>
      <c r="E39" s="21">
        <f t="shared" si="6"/>
        <v>0.25</v>
      </c>
      <c r="F39" s="21">
        <f t="shared" si="7"/>
        <v>0.5</v>
      </c>
      <c r="G39" s="23" t="s">
        <v>274</v>
      </c>
    </row>
    <row r="40" spans="1:7" ht="15.75" customHeight="1" x14ac:dyDescent="0.35">
      <c r="A40" s="19" t="s">
        <v>275</v>
      </c>
      <c r="B40" s="20">
        <v>700</v>
      </c>
      <c r="C40" s="20">
        <v>720</v>
      </c>
      <c r="D40" s="20">
        <v>757</v>
      </c>
      <c r="E40" s="21">
        <f t="shared" si="6"/>
        <v>5.1388888888888887E-2</v>
      </c>
      <c r="F40" s="21">
        <f t="shared" si="7"/>
        <v>8.1428571428571433E-2</v>
      </c>
      <c r="G40" s="23" t="s">
        <v>276</v>
      </c>
    </row>
    <row r="41" spans="1:7" s="153" customFormat="1" ht="15.75" customHeight="1" x14ac:dyDescent="0.35">
      <c r="A41" s="149" t="s">
        <v>277</v>
      </c>
      <c r="B41" s="150">
        <f>SUM(B35:B40)</f>
        <v>10273</v>
      </c>
      <c r="C41" s="150">
        <f>SUM(C35:C40)</f>
        <v>12476</v>
      </c>
      <c r="D41" s="150">
        <f>SUM(D35:D40)</f>
        <v>11985</v>
      </c>
      <c r="E41" s="151">
        <f t="shared" si="6"/>
        <v>-3.9355562680346262E-2</v>
      </c>
      <c r="F41" s="151">
        <f t="shared" si="7"/>
        <v>0.16665044290859535</v>
      </c>
      <c r="G41" s="152" t="s">
        <v>278</v>
      </c>
    </row>
    <row r="42" spans="1:7" s="141" customFormat="1" ht="15.75" customHeight="1" x14ac:dyDescent="0.35">
      <c r="A42" s="137" t="s">
        <v>279</v>
      </c>
      <c r="B42" s="138">
        <f>B33+B41</f>
        <v>12273</v>
      </c>
      <c r="C42" s="138">
        <f>C33+C41</f>
        <v>15785</v>
      </c>
      <c r="D42" s="138">
        <f>D33+D41</f>
        <v>16071</v>
      </c>
      <c r="E42" s="139">
        <f t="shared" si="6"/>
        <v>1.8118466898954706E-2</v>
      </c>
      <c r="F42" s="139">
        <f t="shared" si="7"/>
        <v>0.30945978978244926</v>
      </c>
      <c r="G42" s="140" t="s">
        <v>280</v>
      </c>
    </row>
    <row r="43" spans="1:7" ht="9.75" customHeight="1" x14ac:dyDescent="0.35"/>
    <row r="44" spans="1:7" ht="18" customHeight="1" x14ac:dyDescent="0.35">
      <c r="A44" s="110" t="s">
        <v>281</v>
      </c>
      <c r="B44" s="110"/>
      <c r="C44" s="110"/>
      <c r="D44" s="110"/>
      <c r="E44" s="110"/>
      <c r="F44" s="110"/>
      <c r="G44" s="110"/>
    </row>
    <row r="45" spans="1:7" ht="15.75" customHeight="1" x14ac:dyDescent="0.35">
      <c r="A45" s="19" t="s">
        <v>282</v>
      </c>
      <c r="B45" s="20">
        <v>64</v>
      </c>
      <c r="C45" s="20">
        <v>65</v>
      </c>
      <c r="D45" s="20">
        <v>62</v>
      </c>
      <c r="E45" s="21">
        <f t="shared" ref="E45:E53" si="8">IFERROR((D45-C45)/ABS(C45),"-")</f>
        <v>-4.6153846153846156E-2</v>
      </c>
      <c r="F45" s="21">
        <f t="shared" ref="F45:F53" si="9">IFERROR((D45-B45)/ABS(B45),"-")</f>
        <v>-3.125E-2</v>
      </c>
      <c r="G45" s="23" t="s">
        <v>283</v>
      </c>
    </row>
    <row r="46" spans="1:7" ht="15.75" customHeight="1" x14ac:dyDescent="0.35">
      <c r="A46" s="19" t="s">
        <v>284</v>
      </c>
      <c r="B46" s="20">
        <v>5939</v>
      </c>
      <c r="C46" s="20">
        <v>6387</v>
      </c>
      <c r="D46" s="20">
        <v>5388</v>
      </c>
      <c r="E46" s="21">
        <f t="shared" si="8"/>
        <v>-0.15641146077970877</v>
      </c>
      <c r="F46" s="21">
        <f t="shared" si="9"/>
        <v>-9.2776561710725708E-2</v>
      </c>
      <c r="G46" s="23" t="s">
        <v>285</v>
      </c>
    </row>
    <row r="47" spans="1:7" ht="15.75" customHeight="1" x14ac:dyDescent="0.35">
      <c r="A47" s="19" t="s">
        <v>286</v>
      </c>
      <c r="B47" s="20">
        <v>6195</v>
      </c>
      <c r="C47" s="20">
        <v>8166</v>
      </c>
      <c r="D47" s="20">
        <v>10200</v>
      </c>
      <c r="E47" s="21">
        <f t="shared" si="8"/>
        <v>0.2490815576781778</v>
      </c>
      <c r="F47" s="21">
        <f t="shared" si="9"/>
        <v>0.64648910411622273</v>
      </c>
      <c r="G47" s="23" t="s">
        <v>287</v>
      </c>
    </row>
    <row r="48" spans="1:7" ht="15.75" customHeight="1" x14ac:dyDescent="0.35">
      <c r="A48" s="19" t="s">
        <v>288</v>
      </c>
      <c r="B48" s="20">
        <v>-124</v>
      </c>
      <c r="C48" s="20">
        <v>-122</v>
      </c>
      <c r="D48" s="20">
        <v>-122</v>
      </c>
      <c r="E48" s="21">
        <f t="shared" si="8"/>
        <v>0</v>
      </c>
      <c r="F48" s="21">
        <f t="shared" si="9"/>
        <v>1.6129032258064516E-2</v>
      </c>
      <c r="G48" s="23" t="s">
        <v>289</v>
      </c>
    </row>
    <row r="49" spans="1:7" ht="15.75" customHeight="1" x14ac:dyDescent="0.35">
      <c r="A49" s="19" t="s">
        <v>290</v>
      </c>
      <c r="B49" s="20">
        <v>-13</v>
      </c>
      <c r="C49" s="20">
        <v>0</v>
      </c>
      <c r="D49" s="20">
        <v>0</v>
      </c>
      <c r="E49" s="21" t="str">
        <f t="shared" si="8"/>
        <v>-</v>
      </c>
      <c r="F49" s="21">
        <f t="shared" si="9"/>
        <v>1</v>
      </c>
      <c r="G49" s="23" t="s">
        <v>291</v>
      </c>
    </row>
    <row r="50" spans="1:7" s="153" customFormat="1" ht="15.75" customHeight="1" x14ac:dyDescent="0.35">
      <c r="A50" s="149" t="s">
        <v>292</v>
      </c>
      <c r="B50" s="150">
        <f>SUM(B45:B49)</f>
        <v>12061</v>
      </c>
      <c r="C50" s="150">
        <v>14496</v>
      </c>
      <c r="D50" s="150">
        <v>15528</v>
      </c>
      <c r="E50" s="151">
        <f t="shared" si="8"/>
        <v>7.1192052980132453E-2</v>
      </c>
      <c r="F50" s="151">
        <f t="shared" si="9"/>
        <v>0.28745543487273029</v>
      </c>
      <c r="G50" s="152" t="s">
        <v>293</v>
      </c>
    </row>
    <row r="51" spans="1:7" ht="15.75" customHeight="1" x14ac:dyDescent="0.35">
      <c r="A51" s="19" t="s">
        <v>294</v>
      </c>
      <c r="B51" s="20">
        <v>156</v>
      </c>
      <c r="C51" s="20">
        <v>208</v>
      </c>
      <c r="D51" s="20">
        <v>0</v>
      </c>
      <c r="E51" s="21">
        <f t="shared" si="8"/>
        <v>-1</v>
      </c>
      <c r="F51" s="21">
        <f t="shared" si="9"/>
        <v>-1</v>
      </c>
      <c r="G51" s="23" t="s">
        <v>295</v>
      </c>
    </row>
    <row r="52" spans="1:7" s="141" customFormat="1" ht="15.75" customHeight="1" x14ac:dyDescent="0.35">
      <c r="A52" s="137" t="s">
        <v>296</v>
      </c>
      <c r="B52" s="138">
        <f>B50+B51</f>
        <v>12217</v>
      </c>
      <c r="C52" s="138">
        <f>C50+C51</f>
        <v>14704</v>
      </c>
      <c r="D52" s="138">
        <f>D50+D51</f>
        <v>15528</v>
      </c>
      <c r="E52" s="139">
        <f t="shared" si="8"/>
        <v>5.6039173014145807E-2</v>
      </c>
      <c r="F52" s="139">
        <f t="shared" si="9"/>
        <v>0.27101579765899975</v>
      </c>
      <c r="G52" s="140" t="s">
        <v>297</v>
      </c>
    </row>
    <row r="53" spans="1:7" s="141" customFormat="1" ht="15.75" customHeight="1" x14ac:dyDescent="0.35">
      <c r="A53" s="137" t="s">
        <v>298</v>
      </c>
      <c r="B53" s="138">
        <f>B42+B52</f>
        <v>24490</v>
      </c>
      <c r="C53" s="138">
        <f>C42+C52</f>
        <v>30489</v>
      </c>
      <c r="D53" s="138">
        <f>D42+D52</f>
        <v>31599</v>
      </c>
      <c r="E53" s="139">
        <f t="shared" si="8"/>
        <v>3.6406572862343799E-2</v>
      </c>
      <c r="F53" s="139">
        <f t="shared" si="9"/>
        <v>0.29028174765210291</v>
      </c>
      <c r="G53" s="140" t="s">
        <v>299</v>
      </c>
    </row>
    <row r="54" spans="1:7" ht="9.75" customHeight="1" x14ac:dyDescent="0.35"/>
    <row r="55" spans="1:7" ht="19.5" customHeight="1" x14ac:dyDescent="0.35">
      <c r="A55" s="114" t="s">
        <v>300</v>
      </c>
      <c r="B55" s="114"/>
      <c r="C55" s="114"/>
      <c r="D55" s="33" t="str">
        <f>IF(ABS(B22-B53)&lt;1,"✅ BALANCED","❌ ERROR: "&amp;TEXT(ABS(B22-B53),"$#,##0")&amp;" discrepancy")</f>
        <v>✅ BALANCED</v>
      </c>
      <c r="E55" s="33" t="str">
        <f>IF(ABS(C22-C53)&lt;1,"✅ BALANCED","❌ ERROR: "&amp;TEXT(ABS(C22-C53),"$#,##0")&amp;" discrepancy")</f>
        <v>✅ BALANCED</v>
      </c>
      <c r="F55" s="33" t="str">
        <f>IF(ABS(D22-D53)&lt;1,"✅ BALANCED","❌ ERROR: "&amp;TEXT(ABS(D22-D53),"$#,##0")&amp;" discrepancy")</f>
        <v>✅ BALANCED</v>
      </c>
    </row>
    <row r="57" spans="1:7" ht="21.75" customHeight="1" x14ac:dyDescent="0.35">
      <c r="A57" s="142" t="s">
        <v>857</v>
      </c>
      <c r="B57" s="111"/>
      <c r="C57" s="111"/>
      <c r="D57" s="111"/>
      <c r="E57" s="111"/>
      <c r="F57" s="111"/>
      <c r="G57" s="111"/>
    </row>
  </sheetData>
  <mergeCells count="12">
    <mergeCell ref="A1:G1"/>
    <mergeCell ref="A2:G2"/>
    <mergeCell ref="A3:F3"/>
    <mergeCell ref="A5:G5"/>
    <mergeCell ref="A6:G6"/>
    <mergeCell ref="A55:C55"/>
    <mergeCell ref="A57:G57"/>
    <mergeCell ref="A13:G13"/>
    <mergeCell ref="A24:G24"/>
    <mergeCell ref="A25:G25"/>
    <mergeCell ref="A34:G34"/>
    <mergeCell ref="A44:G4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showGridLines="0" topLeftCell="A49" zoomScale="85" zoomScaleNormal="85" workbookViewId="0">
      <selection activeCell="A62" sqref="A62"/>
    </sheetView>
  </sheetViews>
  <sheetFormatPr defaultColWidth="8.6328125" defaultRowHeight="14.5" x14ac:dyDescent="0.35"/>
  <cols>
    <col min="1" max="1" width="57.81640625" customWidth="1"/>
    <col min="2" max="6" width="16" customWidth="1"/>
    <col min="7" max="7" width="68.08984375" customWidth="1"/>
  </cols>
  <sheetData>
    <row r="1" spans="1:7" ht="30" customHeight="1" x14ac:dyDescent="0.35">
      <c r="A1" s="136" t="s">
        <v>858</v>
      </c>
      <c r="B1" s="112"/>
      <c r="C1" s="112"/>
      <c r="D1" s="112"/>
      <c r="E1" s="112"/>
      <c r="F1" s="112"/>
      <c r="G1" s="112"/>
    </row>
    <row r="2" spans="1:7" ht="18" customHeight="1" x14ac:dyDescent="0.35">
      <c r="A2" s="113" t="s">
        <v>301</v>
      </c>
      <c r="B2" s="113"/>
      <c r="C2" s="113"/>
      <c r="D2" s="113"/>
      <c r="E2" s="113"/>
      <c r="F2" s="113"/>
      <c r="G2" s="113"/>
    </row>
    <row r="3" spans="1:7" ht="36" customHeight="1" x14ac:dyDescent="0.35">
      <c r="A3" s="18" t="s">
        <v>124</v>
      </c>
      <c r="B3" s="18" t="s">
        <v>302</v>
      </c>
      <c r="C3" s="18" t="s">
        <v>208</v>
      </c>
      <c r="D3" s="18" t="s">
        <v>209</v>
      </c>
      <c r="E3" s="18" t="s">
        <v>303</v>
      </c>
      <c r="F3" s="18" t="s">
        <v>304</v>
      </c>
      <c r="G3" s="18" t="s">
        <v>212</v>
      </c>
    </row>
    <row r="4" spans="1:7" ht="18" customHeight="1" x14ac:dyDescent="0.35">
      <c r="A4" s="110" t="s">
        <v>305</v>
      </c>
      <c r="B4" s="110"/>
      <c r="C4" s="110"/>
      <c r="D4" s="110"/>
      <c r="E4" s="110"/>
      <c r="F4" s="110"/>
      <c r="G4" s="110"/>
    </row>
    <row r="5" spans="1:7" ht="15.75" customHeight="1" x14ac:dyDescent="0.35">
      <c r="A5" s="19" t="s">
        <v>306</v>
      </c>
      <c r="B5" s="20">
        <v>3782</v>
      </c>
      <c r="C5" s="20">
        <v>2942</v>
      </c>
      <c r="D5" s="20">
        <v>2681</v>
      </c>
      <c r="E5" s="21">
        <f>IFERROR((C5-B5)/ABS(B5),"-")</f>
        <v>-0.22210470650449499</v>
      </c>
      <c r="F5" s="21">
        <f>IFERROR((D5-C5)/ABS(C5),"-")</f>
        <v>-8.871515975526853E-2</v>
      </c>
      <c r="G5" s="23" t="s">
        <v>307</v>
      </c>
    </row>
    <row r="6" spans="1:7" ht="18" customHeight="1" x14ac:dyDescent="0.35">
      <c r="A6" s="110" t="s">
        <v>308</v>
      </c>
      <c r="B6" s="110"/>
      <c r="C6" s="110"/>
      <c r="D6" s="110"/>
      <c r="E6" s="110"/>
      <c r="F6" s="110"/>
      <c r="G6" s="110"/>
    </row>
    <row r="7" spans="1:7" ht="15.75" customHeight="1" x14ac:dyDescent="0.35">
      <c r="A7" s="19" t="s">
        <v>159</v>
      </c>
      <c r="B7" s="20">
        <v>2554</v>
      </c>
      <c r="C7" s="20">
        <v>3255</v>
      </c>
      <c r="D7" s="20">
        <v>3595</v>
      </c>
      <c r="E7" s="21">
        <f t="shared" ref="E7:E21" si="0">IFERROR((C7-B7)/ABS(B7),"-")</f>
        <v>0.27447141738449493</v>
      </c>
      <c r="F7" s="21">
        <f t="shared" ref="F7:F21" si="1">IFERROR((D7-C7)/ABS(C7),"-")</f>
        <v>0.10445468509984639</v>
      </c>
      <c r="G7" s="23" t="s">
        <v>309</v>
      </c>
    </row>
    <row r="8" spans="1:7" ht="15.75" customHeight="1" x14ac:dyDescent="0.35">
      <c r="A8" s="19" t="s">
        <v>161</v>
      </c>
      <c r="B8" s="20">
        <v>0</v>
      </c>
      <c r="C8" s="20">
        <v>0</v>
      </c>
      <c r="D8" s="20">
        <v>254</v>
      </c>
      <c r="E8" s="21" t="str">
        <f t="shared" si="0"/>
        <v>-</v>
      </c>
      <c r="F8" s="21" t="str">
        <f t="shared" si="1"/>
        <v>-</v>
      </c>
      <c r="G8" s="23" t="s">
        <v>310</v>
      </c>
    </row>
    <row r="9" spans="1:7" ht="15.75" customHeight="1" x14ac:dyDescent="0.35">
      <c r="A9" s="19" t="s">
        <v>311</v>
      </c>
      <c r="B9" s="20">
        <v>5</v>
      </c>
      <c r="C9" s="20">
        <v>5</v>
      </c>
      <c r="D9" s="20">
        <v>11</v>
      </c>
      <c r="E9" s="21">
        <f t="shared" si="0"/>
        <v>0</v>
      </c>
      <c r="F9" s="21">
        <f t="shared" si="1"/>
        <v>1.2</v>
      </c>
      <c r="G9" s="23" t="s">
        <v>312</v>
      </c>
    </row>
    <row r="10" spans="1:7" ht="15.75" customHeight="1" x14ac:dyDescent="0.35">
      <c r="A10" s="19" t="s">
        <v>313</v>
      </c>
      <c r="B10" s="20">
        <v>-16</v>
      </c>
      <c r="C10" s="20">
        <v>8</v>
      </c>
      <c r="D10" s="20">
        <v>16</v>
      </c>
      <c r="E10" s="21">
        <f t="shared" si="0"/>
        <v>1.5</v>
      </c>
      <c r="F10" s="21">
        <f t="shared" si="1"/>
        <v>1</v>
      </c>
      <c r="G10" s="23" t="s">
        <v>314</v>
      </c>
    </row>
    <row r="11" spans="1:7" ht="15.75" customHeight="1" x14ac:dyDescent="0.35">
      <c r="A11" s="19" t="s">
        <v>315</v>
      </c>
      <c r="B11" s="20">
        <v>-118</v>
      </c>
      <c r="C11" s="20">
        <v>-21</v>
      </c>
      <c r="D11" s="20">
        <v>-402</v>
      </c>
      <c r="E11" s="21">
        <f t="shared" si="0"/>
        <v>0.82203389830508478</v>
      </c>
      <c r="F11" s="21">
        <f t="shared" si="1"/>
        <v>-18.142857142857142</v>
      </c>
      <c r="G11" s="23" t="s">
        <v>316</v>
      </c>
    </row>
    <row r="12" spans="1:7" ht="15.75" customHeight="1" x14ac:dyDescent="0.35">
      <c r="A12" s="19" t="s">
        <v>317</v>
      </c>
      <c r="B12" s="20">
        <v>47</v>
      </c>
      <c r="C12" s="20">
        <v>197</v>
      </c>
      <c r="D12" s="20">
        <v>232</v>
      </c>
      <c r="E12" s="21">
        <f t="shared" si="0"/>
        <v>3.1914893617021276</v>
      </c>
      <c r="F12" s="21">
        <f t="shared" si="1"/>
        <v>0.17766497461928935</v>
      </c>
      <c r="G12" s="23" t="s">
        <v>318</v>
      </c>
    </row>
    <row r="13" spans="1:7" ht="15.75" customHeight="1" x14ac:dyDescent="0.35">
      <c r="A13" s="19" t="s">
        <v>319</v>
      </c>
      <c r="B13" s="20">
        <v>-30</v>
      </c>
      <c r="C13" s="20">
        <v>11</v>
      </c>
      <c r="D13" s="20">
        <v>-343</v>
      </c>
      <c r="E13" s="21">
        <f t="shared" si="0"/>
        <v>1.3666666666666667</v>
      </c>
      <c r="F13" s="21">
        <f t="shared" si="1"/>
        <v>-32.18181818181818</v>
      </c>
      <c r="G13" s="23" t="s">
        <v>320</v>
      </c>
    </row>
    <row r="14" spans="1:7" ht="15.75" customHeight="1" x14ac:dyDescent="0.35">
      <c r="A14" s="19" t="s">
        <v>321</v>
      </c>
      <c r="B14" s="20">
        <v>376</v>
      </c>
      <c r="C14" s="20">
        <v>311</v>
      </c>
      <c r="D14" s="20">
        <v>484</v>
      </c>
      <c r="E14" s="21">
        <f t="shared" si="0"/>
        <v>-0.17287234042553193</v>
      </c>
      <c r="F14" s="21">
        <f t="shared" si="1"/>
        <v>0.5562700964630225</v>
      </c>
      <c r="G14" s="23" t="s">
        <v>322</v>
      </c>
    </row>
    <row r="15" spans="1:7" ht="15.75" customHeight="1" x14ac:dyDescent="0.35">
      <c r="A15" s="19" t="s">
        <v>323</v>
      </c>
      <c r="B15" s="20">
        <v>93</v>
      </c>
      <c r="C15" s="20">
        <v>99</v>
      </c>
      <c r="D15" s="20">
        <v>99</v>
      </c>
      <c r="E15" s="21">
        <f t="shared" si="0"/>
        <v>6.4516129032258063E-2</v>
      </c>
      <c r="F15" s="21">
        <f t="shared" si="1"/>
        <v>0</v>
      </c>
      <c r="G15" s="23" t="s">
        <v>324</v>
      </c>
    </row>
    <row r="16" spans="1:7" ht="15.75" customHeight="1" x14ac:dyDescent="0.35">
      <c r="A16" s="19" t="s">
        <v>325</v>
      </c>
      <c r="B16" s="20">
        <v>-5</v>
      </c>
      <c r="C16" s="20">
        <v>10</v>
      </c>
      <c r="D16" s="20">
        <v>-67</v>
      </c>
      <c r="E16" s="21">
        <f t="shared" si="0"/>
        <v>3</v>
      </c>
      <c r="F16" s="21">
        <f t="shared" si="1"/>
        <v>-7.7</v>
      </c>
      <c r="G16" s="23" t="s">
        <v>326</v>
      </c>
    </row>
    <row r="17" spans="1:7" ht="15.75" customHeight="1" x14ac:dyDescent="0.35">
      <c r="A17" s="19" t="s">
        <v>327</v>
      </c>
      <c r="B17" s="20">
        <v>-144</v>
      </c>
      <c r="C17" s="20">
        <v>-217</v>
      </c>
      <c r="D17" s="20">
        <v>151</v>
      </c>
      <c r="E17" s="21">
        <f t="shared" si="0"/>
        <v>-0.50694444444444442</v>
      </c>
      <c r="F17" s="21">
        <f t="shared" si="1"/>
        <v>1.695852534562212</v>
      </c>
      <c r="G17" s="23" t="s">
        <v>328</v>
      </c>
    </row>
    <row r="18" spans="1:7" ht="15.75" customHeight="1" x14ac:dyDescent="0.35">
      <c r="A18" s="19" t="s">
        <v>329</v>
      </c>
      <c r="B18" s="20">
        <v>0</v>
      </c>
      <c r="C18" s="20">
        <v>0</v>
      </c>
      <c r="D18" s="20">
        <v>0</v>
      </c>
      <c r="E18" s="21" t="str">
        <f t="shared" si="0"/>
        <v>-</v>
      </c>
      <c r="F18" s="21" t="str">
        <f t="shared" si="1"/>
        <v>-</v>
      </c>
      <c r="G18" s="23" t="s">
        <v>330</v>
      </c>
    </row>
    <row r="19" spans="1:7" ht="15.75" customHeight="1" x14ac:dyDescent="0.35">
      <c r="A19" s="19" t="s">
        <v>331</v>
      </c>
      <c r="B19" s="20">
        <v>0</v>
      </c>
      <c r="C19" s="20">
        <v>0</v>
      </c>
      <c r="D19" s="20">
        <v>0</v>
      </c>
      <c r="E19" s="21" t="str">
        <f t="shared" si="0"/>
        <v>-</v>
      </c>
      <c r="F19" s="21" t="str">
        <f t="shared" si="1"/>
        <v>-</v>
      </c>
      <c r="G19" s="23" t="s">
        <v>332</v>
      </c>
    </row>
    <row r="20" spans="1:7" s="153" customFormat="1" ht="15.75" customHeight="1" x14ac:dyDescent="0.35">
      <c r="A20" s="149" t="s">
        <v>333</v>
      </c>
      <c r="B20" s="150">
        <f>SUM(B7:B19)</f>
        <v>2762</v>
      </c>
      <c r="C20" s="150">
        <f>SUM(C7:C19)</f>
        <v>3658</v>
      </c>
      <c r="D20" s="150">
        <f>SUM(D7:D19)</f>
        <v>4030</v>
      </c>
      <c r="E20" s="151">
        <f t="shared" si="0"/>
        <v>0.32440260680666183</v>
      </c>
      <c r="F20" s="151">
        <f t="shared" si="1"/>
        <v>0.10169491525423729</v>
      </c>
      <c r="G20" s="152"/>
    </row>
    <row r="21" spans="1:7" s="141" customFormat="1" ht="15.75" customHeight="1" x14ac:dyDescent="0.35">
      <c r="A21" s="137" t="s">
        <v>334</v>
      </c>
      <c r="B21" s="138">
        <f>B5+B20</f>
        <v>6544</v>
      </c>
      <c r="C21" s="138">
        <f>C5+C20</f>
        <v>6600</v>
      </c>
      <c r="D21" s="138">
        <f>D5+D20</f>
        <v>6711</v>
      </c>
      <c r="E21" s="139">
        <f t="shared" si="0"/>
        <v>8.557457212713936E-3</v>
      </c>
      <c r="F21" s="139">
        <f t="shared" si="1"/>
        <v>1.6818181818181819E-2</v>
      </c>
      <c r="G21" s="140" t="s">
        <v>335</v>
      </c>
    </row>
    <row r="22" spans="1:7" ht="9.75" customHeight="1" x14ac:dyDescent="0.35"/>
    <row r="23" spans="1:7" ht="18" customHeight="1" x14ac:dyDescent="0.35">
      <c r="A23" s="110" t="s">
        <v>336</v>
      </c>
      <c r="B23" s="110"/>
      <c r="C23" s="110"/>
      <c r="D23" s="110"/>
      <c r="E23" s="110"/>
      <c r="F23" s="110"/>
      <c r="G23" s="110"/>
    </row>
    <row r="24" spans="1:7" ht="15.75" customHeight="1" x14ac:dyDescent="0.35">
      <c r="A24" s="19" t="s">
        <v>337</v>
      </c>
      <c r="B24" s="20">
        <v>-3883</v>
      </c>
      <c r="C24" s="20">
        <v>-3645</v>
      </c>
      <c r="D24" s="20">
        <v>-3592</v>
      </c>
      <c r="E24" s="21">
        <f t="shared" ref="E24:F31" si="2">IFERROR((C24-B24)/ABS(B24),"-")</f>
        <v>6.1292814833891318E-2</v>
      </c>
      <c r="F24" s="21">
        <f t="shared" si="2"/>
        <v>1.4540466392318244E-2</v>
      </c>
      <c r="G24" s="23" t="s">
        <v>338</v>
      </c>
    </row>
    <row r="25" spans="1:7" ht="15.75" customHeight="1" x14ac:dyDescent="0.35">
      <c r="A25" s="19" t="s">
        <v>339</v>
      </c>
      <c r="B25" s="20">
        <v>-64</v>
      </c>
      <c r="C25" s="20">
        <v>-3808</v>
      </c>
      <c r="D25" s="20">
        <v>-322</v>
      </c>
      <c r="E25" s="21">
        <f t="shared" si="2"/>
        <v>-58.5</v>
      </c>
      <c r="F25" s="21">
        <f t="shared" si="2"/>
        <v>0.9154411764705882</v>
      </c>
      <c r="G25" s="23" t="s">
        <v>340</v>
      </c>
    </row>
    <row r="26" spans="1:7" ht="15.75" customHeight="1" x14ac:dyDescent="0.35">
      <c r="A26" s="19" t="s">
        <v>341</v>
      </c>
      <c r="B26" s="20">
        <v>26</v>
      </c>
      <c r="C26" s="20">
        <v>24</v>
      </c>
      <c r="D26" s="20">
        <v>545</v>
      </c>
      <c r="E26" s="21">
        <f t="shared" si="2"/>
        <v>-7.6923076923076927E-2</v>
      </c>
      <c r="F26" s="21">
        <f t="shared" si="2"/>
        <v>21.708333333333332</v>
      </c>
      <c r="G26" s="23" t="s">
        <v>342</v>
      </c>
    </row>
    <row r="27" spans="1:7" ht="15.75" customHeight="1" x14ac:dyDescent="0.35">
      <c r="A27" s="19" t="s">
        <v>343</v>
      </c>
      <c r="B27" s="20">
        <v>0</v>
      </c>
      <c r="C27" s="20">
        <v>147</v>
      </c>
      <c r="D27" s="20">
        <v>0</v>
      </c>
      <c r="E27" s="21" t="str">
        <f t="shared" si="2"/>
        <v>-</v>
      </c>
      <c r="F27" s="21">
        <f t="shared" si="2"/>
        <v>-1</v>
      </c>
      <c r="G27" s="23" t="s">
        <v>344</v>
      </c>
    </row>
    <row r="28" spans="1:7" ht="15.75" customHeight="1" x14ac:dyDescent="0.35">
      <c r="A28" s="19" t="s">
        <v>345</v>
      </c>
      <c r="B28" s="20">
        <v>32</v>
      </c>
      <c r="C28" s="20">
        <v>68</v>
      </c>
      <c r="D28" s="20">
        <v>38</v>
      </c>
      <c r="E28" s="21">
        <f t="shared" si="2"/>
        <v>1.125</v>
      </c>
      <c r="F28" s="21">
        <f t="shared" si="2"/>
        <v>-0.44117647058823528</v>
      </c>
      <c r="G28" s="23" t="s">
        <v>346</v>
      </c>
    </row>
    <row r="29" spans="1:7" ht="15.75" customHeight="1" x14ac:dyDescent="0.35">
      <c r="A29" s="19" t="s">
        <v>347</v>
      </c>
      <c r="B29" s="20">
        <v>-53</v>
      </c>
      <c r="C29" s="20">
        <v>-118</v>
      </c>
      <c r="D29" s="20">
        <v>-62</v>
      </c>
      <c r="E29" s="21">
        <f t="shared" si="2"/>
        <v>-1.2264150943396226</v>
      </c>
      <c r="F29" s="21">
        <f t="shared" si="2"/>
        <v>0.47457627118644069</v>
      </c>
      <c r="G29" s="23" t="s">
        <v>348</v>
      </c>
    </row>
    <row r="30" spans="1:7" ht="15.75" customHeight="1" x14ac:dyDescent="0.35">
      <c r="A30" s="19" t="s">
        <v>349</v>
      </c>
      <c r="B30" s="20">
        <v>0</v>
      </c>
      <c r="C30" s="20">
        <v>0</v>
      </c>
      <c r="D30" s="20">
        <v>0</v>
      </c>
      <c r="E30" s="21" t="str">
        <f t="shared" si="2"/>
        <v>-</v>
      </c>
      <c r="F30" s="21" t="str">
        <f t="shared" si="2"/>
        <v>-</v>
      </c>
      <c r="G30" s="23" t="s">
        <v>350</v>
      </c>
    </row>
    <row r="31" spans="1:7" s="141" customFormat="1" ht="15.75" customHeight="1" x14ac:dyDescent="0.35">
      <c r="A31" s="137" t="s">
        <v>351</v>
      </c>
      <c r="B31" s="138">
        <f>SUM(B24:B30)</f>
        <v>-3942</v>
      </c>
      <c r="C31" s="138">
        <f>SUM(C24:C30)</f>
        <v>-7332</v>
      </c>
      <c r="D31" s="138">
        <f>SUM(D24:D30)</f>
        <v>-3393</v>
      </c>
      <c r="E31" s="139">
        <f t="shared" si="2"/>
        <v>-0.85996955859969559</v>
      </c>
      <c r="F31" s="139">
        <f t="shared" si="2"/>
        <v>0.53723404255319152</v>
      </c>
      <c r="G31" s="140" t="s">
        <v>352</v>
      </c>
    </row>
    <row r="32" spans="1:7" ht="9.75" customHeight="1" x14ac:dyDescent="0.35"/>
    <row r="33" spans="1:7" ht="18" customHeight="1" x14ac:dyDescent="0.35">
      <c r="A33" s="110" t="s">
        <v>353</v>
      </c>
      <c r="B33" s="110"/>
      <c r="C33" s="110"/>
      <c r="D33" s="110"/>
      <c r="E33" s="110"/>
      <c r="F33" s="110"/>
      <c r="G33" s="110"/>
    </row>
    <row r="34" spans="1:7" ht="15.75" customHeight="1" x14ac:dyDescent="0.35">
      <c r="A34" s="19" t="s">
        <v>354</v>
      </c>
      <c r="B34" s="20">
        <v>0</v>
      </c>
      <c r="C34" s="20">
        <v>3219</v>
      </c>
      <c r="D34" s="20">
        <v>0</v>
      </c>
      <c r="E34" s="21" t="str">
        <f t="shared" ref="E34:E44" si="3">IFERROR((C34-B34)/ABS(B34),"-")</f>
        <v>-</v>
      </c>
      <c r="F34" s="21">
        <f t="shared" ref="F34:F44" si="4">IFERROR((D34-C34)/ABS(C34),"-")</f>
        <v>-1</v>
      </c>
      <c r="G34" s="23" t="s">
        <v>355</v>
      </c>
    </row>
    <row r="35" spans="1:7" ht="15.75" customHeight="1" x14ac:dyDescent="0.35">
      <c r="A35" s="19" t="s">
        <v>356</v>
      </c>
      <c r="B35" s="20">
        <v>-242</v>
      </c>
      <c r="C35" s="20">
        <v>-472</v>
      </c>
      <c r="D35" s="20">
        <v>-485</v>
      </c>
      <c r="E35" s="21">
        <f t="shared" si="3"/>
        <v>-0.95041322314049592</v>
      </c>
      <c r="F35" s="21">
        <f t="shared" si="4"/>
        <v>-2.7542372881355932E-2</v>
      </c>
      <c r="G35" s="23" t="s">
        <v>357</v>
      </c>
    </row>
    <row r="36" spans="1:7" ht="15.75" customHeight="1" x14ac:dyDescent="0.35">
      <c r="A36" s="19" t="s">
        <v>358</v>
      </c>
      <c r="B36" s="20">
        <v>-979</v>
      </c>
      <c r="C36" s="20">
        <v>-1057</v>
      </c>
      <c r="D36" s="20">
        <v>-1050</v>
      </c>
      <c r="E36" s="21">
        <f t="shared" si="3"/>
        <v>-7.9673135852911137E-2</v>
      </c>
      <c r="F36" s="21">
        <f t="shared" si="4"/>
        <v>6.6225165562913907E-3</v>
      </c>
      <c r="G36" s="23" t="s">
        <v>359</v>
      </c>
    </row>
    <row r="37" spans="1:7" ht="15.75" customHeight="1" x14ac:dyDescent="0.35">
      <c r="A37" s="19" t="s">
        <v>360</v>
      </c>
      <c r="B37" s="20">
        <v>-1858</v>
      </c>
      <c r="C37" s="20">
        <v>-937</v>
      </c>
      <c r="D37" s="20">
        <v>-619</v>
      </c>
      <c r="E37" s="21">
        <f t="shared" si="3"/>
        <v>0.49569429494079653</v>
      </c>
      <c r="F37" s="21">
        <f t="shared" si="4"/>
        <v>0.33938100320170755</v>
      </c>
      <c r="G37" s="23" t="s">
        <v>361</v>
      </c>
    </row>
    <row r="38" spans="1:7" ht="15.75" customHeight="1" x14ac:dyDescent="0.35">
      <c r="A38" s="19" t="s">
        <v>362</v>
      </c>
      <c r="B38" s="20">
        <v>37</v>
      </c>
      <c r="C38" s="20">
        <v>52</v>
      </c>
      <c r="D38" s="20">
        <v>14</v>
      </c>
      <c r="E38" s="21">
        <f t="shared" si="3"/>
        <v>0.40540540540540543</v>
      </c>
      <c r="F38" s="21">
        <f t="shared" si="4"/>
        <v>-0.73076923076923073</v>
      </c>
      <c r="G38" s="23" t="s">
        <v>363</v>
      </c>
    </row>
    <row r="39" spans="1:7" ht="15.75" customHeight="1" x14ac:dyDescent="0.35">
      <c r="A39" s="19" t="s">
        <v>364</v>
      </c>
      <c r="B39" s="20">
        <v>-45</v>
      </c>
      <c r="C39" s="20">
        <v>-51</v>
      </c>
      <c r="D39" s="20">
        <v>-23</v>
      </c>
      <c r="E39" s="21">
        <f t="shared" si="3"/>
        <v>-0.13333333333333333</v>
      </c>
      <c r="F39" s="21">
        <f t="shared" si="4"/>
        <v>0.5490196078431373</v>
      </c>
      <c r="G39" s="23" t="s">
        <v>365</v>
      </c>
    </row>
    <row r="40" spans="1:7" ht="15.75" customHeight="1" x14ac:dyDescent="0.35">
      <c r="A40" s="19" t="s">
        <v>366</v>
      </c>
      <c r="B40" s="20">
        <v>0</v>
      </c>
      <c r="C40" s="20">
        <v>0</v>
      </c>
      <c r="D40" s="20">
        <v>-260</v>
      </c>
      <c r="E40" s="21" t="str">
        <f t="shared" si="3"/>
        <v>-</v>
      </c>
      <c r="F40" s="21" t="str">
        <f t="shared" si="4"/>
        <v>-</v>
      </c>
      <c r="G40" s="23" t="s">
        <v>367</v>
      </c>
    </row>
    <row r="41" spans="1:7" ht="15.75" customHeight="1" x14ac:dyDescent="0.35">
      <c r="A41" s="19" t="s">
        <v>368</v>
      </c>
      <c r="B41" s="20">
        <v>0</v>
      </c>
      <c r="C41" s="20">
        <v>0</v>
      </c>
      <c r="D41" s="20">
        <v>-282</v>
      </c>
      <c r="E41" s="21" t="str">
        <f t="shared" si="3"/>
        <v>-</v>
      </c>
      <c r="F41" s="21" t="str">
        <f t="shared" si="4"/>
        <v>-</v>
      </c>
      <c r="G41" s="23" t="s">
        <v>369</v>
      </c>
    </row>
    <row r="42" spans="1:7" ht="15.75" customHeight="1" x14ac:dyDescent="0.35">
      <c r="A42" s="19" t="s">
        <v>370</v>
      </c>
      <c r="B42" s="20">
        <v>-97</v>
      </c>
      <c r="C42" s="20">
        <v>-48</v>
      </c>
      <c r="D42" s="20">
        <v>-25</v>
      </c>
      <c r="E42" s="21">
        <f t="shared" si="3"/>
        <v>0.50515463917525771</v>
      </c>
      <c r="F42" s="21">
        <f t="shared" si="4"/>
        <v>0.47916666666666669</v>
      </c>
      <c r="G42" s="23" t="s">
        <v>371</v>
      </c>
    </row>
    <row r="43" spans="1:7" ht="15.75" customHeight="1" x14ac:dyDescent="0.35">
      <c r="A43" s="19" t="s">
        <v>372</v>
      </c>
      <c r="B43" s="20">
        <v>0</v>
      </c>
      <c r="C43" s="20">
        <v>0</v>
      </c>
      <c r="D43" s="20">
        <v>0</v>
      </c>
      <c r="E43" s="21" t="str">
        <f t="shared" si="3"/>
        <v>-</v>
      </c>
      <c r="F43" s="21" t="str">
        <f t="shared" si="4"/>
        <v>-</v>
      </c>
      <c r="G43" s="23" t="s">
        <v>373</v>
      </c>
    </row>
    <row r="44" spans="1:7" s="141" customFormat="1" ht="15.75" customHeight="1" x14ac:dyDescent="0.35">
      <c r="A44" s="137" t="s">
        <v>374</v>
      </c>
      <c r="B44" s="138">
        <f>SUM(B34:B43)</f>
        <v>-3184</v>
      </c>
      <c r="C44" s="138">
        <f>SUM(C34:C43)</f>
        <v>706</v>
      </c>
      <c r="D44" s="138">
        <f>SUM(D34:D43)</f>
        <v>-2730</v>
      </c>
      <c r="E44" s="139">
        <f t="shared" si="3"/>
        <v>1.2217336683417086</v>
      </c>
      <c r="F44" s="139">
        <f t="shared" si="4"/>
        <v>-4.8668555240793205</v>
      </c>
      <c r="G44" s="140" t="s">
        <v>375</v>
      </c>
    </row>
    <row r="45" spans="1:7" ht="9.75" customHeight="1" x14ac:dyDescent="0.35"/>
    <row r="46" spans="1:7" ht="18" customHeight="1" x14ac:dyDescent="0.35">
      <c r="A46" s="110" t="s">
        <v>376</v>
      </c>
      <c r="B46" s="110"/>
      <c r="C46" s="110"/>
      <c r="D46" s="110"/>
      <c r="E46" s="110"/>
      <c r="F46" s="110"/>
      <c r="G46" s="110"/>
    </row>
    <row r="47" spans="1:7" ht="15.75" customHeight="1" x14ac:dyDescent="0.35">
      <c r="A47" s="19" t="s">
        <v>377</v>
      </c>
      <c r="B47" s="20">
        <v>3</v>
      </c>
      <c r="C47" s="20">
        <v>-3</v>
      </c>
      <c r="D47" s="20">
        <v>0</v>
      </c>
      <c r="E47" s="21">
        <f t="shared" ref="E47:F50" si="5">IFERROR((C47-B47)/ABS(B47),"-")</f>
        <v>-2</v>
      </c>
      <c r="F47" s="21">
        <f t="shared" si="5"/>
        <v>1</v>
      </c>
      <c r="G47" s="23" t="s">
        <v>378</v>
      </c>
    </row>
    <row r="48" spans="1:7" ht="15.75" customHeight="1" x14ac:dyDescent="0.35">
      <c r="A48" s="24" t="s">
        <v>379</v>
      </c>
      <c r="B48" s="25">
        <f>B21+B31+B44+B47</f>
        <v>-579</v>
      </c>
      <c r="C48" s="25">
        <f>C21+C31+C44+C47</f>
        <v>-29</v>
      </c>
      <c r="D48" s="25">
        <f>D21+D31+D44+D47</f>
        <v>588</v>
      </c>
      <c r="E48" s="26">
        <f t="shared" si="5"/>
        <v>0.94991364421416236</v>
      </c>
      <c r="F48" s="26">
        <f t="shared" si="5"/>
        <v>21.275862068965516</v>
      </c>
      <c r="G48" s="23" t="s">
        <v>380</v>
      </c>
    </row>
    <row r="49" spans="1:7" ht="15.75" customHeight="1" x14ac:dyDescent="0.35">
      <c r="A49" s="19" t="s">
        <v>381</v>
      </c>
      <c r="B49" s="20">
        <v>1454</v>
      </c>
      <c r="C49" s="20">
        <v>875</v>
      </c>
      <c r="D49" s="20">
        <v>846</v>
      </c>
      <c r="E49" s="21">
        <f t="shared" si="5"/>
        <v>-0.3982118294360385</v>
      </c>
      <c r="F49" s="21">
        <f t="shared" si="5"/>
        <v>-3.3142857142857141E-2</v>
      </c>
      <c r="G49" s="23" t="s">
        <v>382</v>
      </c>
    </row>
    <row r="50" spans="1:7" s="141" customFormat="1" ht="15.75" customHeight="1" x14ac:dyDescent="0.35">
      <c r="A50" s="137" t="s">
        <v>383</v>
      </c>
      <c r="B50" s="138">
        <f>B48+B49</f>
        <v>875</v>
      </c>
      <c r="C50" s="138">
        <f>C48+C49</f>
        <v>846</v>
      </c>
      <c r="D50" s="138">
        <f>D48+D49</f>
        <v>1434</v>
      </c>
      <c r="E50" s="139">
        <f t="shared" si="5"/>
        <v>-3.3142857142857141E-2</v>
      </c>
      <c r="F50" s="139">
        <f t="shared" si="5"/>
        <v>0.69503546099290781</v>
      </c>
      <c r="G50" s="140" t="s">
        <v>384</v>
      </c>
    </row>
    <row r="51" spans="1:7" ht="9.75" customHeight="1" x14ac:dyDescent="0.35"/>
    <row r="52" spans="1:7" ht="19.5" customHeight="1" x14ac:dyDescent="0.35">
      <c r="A52" s="114" t="s">
        <v>385</v>
      </c>
      <c r="B52" s="114"/>
      <c r="C52" s="114"/>
      <c r="D52" s="33" t="str">
        <f>IF(ABS(B50-BS!B7)&lt;1,"✅ TIES","❌ CHECK")</f>
        <v>✅ TIES</v>
      </c>
      <c r="E52" s="33" t="str">
        <f>IF(ABS(C50-BS!C7)&lt;1,"✅ TIES","❌ CHECK")</f>
        <v>✅ TIES</v>
      </c>
      <c r="F52" s="33" t="str">
        <f>IF(ABS(D50-BS!D7)&lt;1,"✅ TIES","❌ CHECK")</f>
        <v>✅ TIES</v>
      </c>
    </row>
    <row r="54" spans="1:7" ht="18" customHeight="1" x14ac:dyDescent="0.35">
      <c r="A54" s="110" t="s">
        <v>386</v>
      </c>
      <c r="B54" s="110"/>
      <c r="C54" s="110"/>
      <c r="D54" s="110"/>
      <c r="E54" s="110"/>
      <c r="F54" s="110"/>
      <c r="G54" s="110"/>
    </row>
    <row r="55" spans="1:7" ht="15.75" customHeight="1" x14ac:dyDescent="0.35">
      <c r="A55" s="24" t="s">
        <v>387</v>
      </c>
      <c r="B55" s="25">
        <f>B21+B24</f>
        <v>2661</v>
      </c>
      <c r="C55" s="25">
        <f>C21+C24</f>
        <v>2955</v>
      </c>
      <c r="D55" s="25">
        <f>D21+D24</f>
        <v>3119</v>
      </c>
      <c r="E55" s="26">
        <f t="shared" ref="E55:F57" si="6">IFERROR((C55-B55)/ABS(B55),"-")</f>
        <v>0.1104847801578354</v>
      </c>
      <c r="F55" s="26">
        <f t="shared" si="6"/>
        <v>5.549915397631134E-2</v>
      </c>
      <c r="G55" s="23" t="s">
        <v>388</v>
      </c>
    </row>
    <row r="56" spans="1:7" ht="15.75" customHeight="1" x14ac:dyDescent="0.35">
      <c r="A56" s="19" t="s">
        <v>389</v>
      </c>
      <c r="B56" s="28">
        <f>ABS(B24)+ABS(B25)</f>
        <v>3947</v>
      </c>
      <c r="C56" s="28">
        <f>ABS(C24)+ABS(C25)</f>
        <v>7453</v>
      </c>
      <c r="D56" s="28">
        <f>ABS(D24)+ABS(D25)</f>
        <v>3914</v>
      </c>
      <c r="E56" s="21">
        <f t="shared" si="6"/>
        <v>0.88826957182670385</v>
      </c>
      <c r="F56" s="21">
        <f t="shared" si="6"/>
        <v>-0.47484234536428283</v>
      </c>
      <c r="G56" s="23"/>
    </row>
    <row r="57" spans="1:7" ht="15.75" customHeight="1" x14ac:dyDescent="0.35">
      <c r="A57" s="19" t="s">
        <v>390</v>
      </c>
      <c r="B57" s="28">
        <f>ABS(B37)+ABS(B36)</f>
        <v>2837</v>
      </c>
      <c r="C57" s="28">
        <f>ABS(C37)+ABS(C36)</f>
        <v>1994</v>
      </c>
      <c r="D57" s="28">
        <f>ABS(D37)+ABS(D36)</f>
        <v>1669</v>
      </c>
      <c r="E57" s="21">
        <f t="shared" si="6"/>
        <v>-0.29714487134296791</v>
      </c>
      <c r="F57" s="21">
        <f t="shared" si="6"/>
        <v>-0.16298896690070211</v>
      </c>
      <c r="G57" s="23" t="s">
        <v>391</v>
      </c>
    </row>
    <row r="59" spans="1:7" ht="21.75" customHeight="1" x14ac:dyDescent="0.35">
      <c r="A59" s="142" t="s">
        <v>854</v>
      </c>
      <c r="B59" s="111"/>
      <c r="C59" s="111"/>
      <c r="D59" s="111"/>
      <c r="E59" s="111"/>
      <c r="F59" s="111"/>
      <c r="G59" s="111"/>
    </row>
  </sheetData>
  <mergeCells count="10">
    <mergeCell ref="A1:G1"/>
    <mergeCell ref="A2:G2"/>
    <mergeCell ref="A4:G4"/>
    <mergeCell ref="A6:G6"/>
    <mergeCell ref="A23:G23"/>
    <mergeCell ref="A33:G33"/>
    <mergeCell ref="A46:G46"/>
    <mergeCell ref="A52:C52"/>
    <mergeCell ref="A54:G54"/>
    <mergeCell ref="A59:G5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showGridLines="0" zoomScale="85" zoomScaleNormal="85" workbookViewId="0">
      <selection activeCell="B61" sqref="B61"/>
    </sheetView>
  </sheetViews>
  <sheetFormatPr defaultColWidth="8.6328125" defaultRowHeight="14.5" x14ac:dyDescent="0.35"/>
  <cols>
    <col min="1" max="1" width="58.81640625" customWidth="1"/>
    <col min="2" max="5" width="16" customWidth="1"/>
    <col min="6" max="6" width="15.7265625" customWidth="1"/>
    <col min="7" max="7" width="80.6328125" customWidth="1"/>
  </cols>
  <sheetData>
    <row r="1" spans="1:7" ht="30" customHeight="1" x14ac:dyDescent="0.35">
      <c r="A1" s="136" t="s">
        <v>859</v>
      </c>
      <c r="B1" s="112"/>
      <c r="C1" s="112"/>
      <c r="D1" s="112"/>
      <c r="E1" s="112"/>
      <c r="F1" s="112"/>
      <c r="G1" s="112"/>
    </row>
    <row r="2" spans="1:7" ht="18" customHeight="1" x14ac:dyDescent="0.35">
      <c r="A2" s="113" t="s">
        <v>392</v>
      </c>
      <c r="B2" s="113"/>
      <c r="C2" s="113"/>
      <c r="D2" s="113"/>
      <c r="E2" s="113"/>
      <c r="F2" s="113"/>
      <c r="G2" s="113"/>
    </row>
    <row r="3" spans="1:7" ht="36" customHeight="1" x14ac:dyDescent="0.35">
      <c r="A3" s="18" t="s">
        <v>393</v>
      </c>
      <c r="B3" s="18" t="s">
        <v>103</v>
      </c>
      <c r="C3" s="18" t="s">
        <v>104</v>
      </c>
      <c r="D3" s="18" t="s">
        <v>105</v>
      </c>
      <c r="E3" s="18" t="s">
        <v>394</v>
      </c>
      <c r="F3" s="18" t="s">
        <v>395</v>
      </c>
      <c r="G3" s="18" t="s">
        <v>396</v>
      </c>
    </row>
    <row r="4" spans="1:7" ht="19.5" customHeight="1" x14ac:dyDescent="0.35">
      <c r="A4" s="154" t="s">
        <v>861</v>
      </c>
      <c r="B4" s="121"/>
      <c r="C4" s="121"/>
      <c r="D4" s="121"/>
      <c r="E4" s="121"/>
      <c r="F4" s="121"/>
      <c r="G4" s="121"/>
    </row>
    <row r="5" spans="1:7" ht="16.5" customHeight="1" x14ac:dyDescent="0.35">
      <c r="A5" s="19" t="s">
        <v>87</v>
      </c>
      <c r="B5" s="34">
        <f>BS!B12/BS!B33</f>
        <v>1.3875</v>
      </c>
      <c r="C5" s="34">
        <f>BS!C12/BS!C33</f>
        <v>1.0356603203384709</v>
      </c>
      <c r="D5" s="35">
        <f>BS!D12/BS!D33</f>
        <v>0.98042094958394521</v>
      </c>
      <c r="E5" s="36" t="s">
        <v>397</v>
      </c>
      <c r="F5" s="37" t="s">
        <v>398</v>
      </c>
      <c r="G5" s="147" t="s">
        <v>399</v>
      </c>
    </row>
    <row r="6" spans="1:7" ht="16.5" customHeight="1" x14ac:dyDescent="0.35">
      <c r="A6" s="19" t="s">
        <v>400</v>
      </c>
      <c r="B6" s="34">
        <f>(BS!B7+BS!B8)/BS!B33</f>
        <v>1.1625000000000001</v>
      </c>
      <c r="C6" s="34">
        <f>(BS!C7+BS!C8)/BS!C33</f>
        <v>0.85161680265941375</v>
      </c>
      <c r="D6" s="35">
        <f>(BS!D7+BS!D8)/BS!D33</f>
        <v>0.78952520802741066</v>
      </c>
      <c r="E6" s="36" t="s">
        <v>401</v>
      </c>
      <c r="F6" s="38" t="s">
        <v>402</v>
      </c>
      <c r="G6" s="147" t="s">
        <v>403</v>
      </c>
    </row>
    <row r="7" spans="1:7" ht="16.5" customHeight="1" x14ac:dyDescent="0.35">
      <c r="A7" s="19" t="s">
        <v>404</v>
      </c>
      <c r="B7" s="34">
        <f>BS!B7/BS!B33</f>
        <v>0.4375</v>
      </c>
      <c r="C7" s="34">
        <f>BS!C7/BS!C33</f>
        <v>0.25566636446056212</v>
      </c>
      <c r="D7" s="35">
        <f>BS!D7/BS!D33</f>
        <v>0.35095447870778268</v>
      </c>
      <c r="E7" s="36" t="s">
        <v>405</v>
      </c>
      <c r="F7" s="38" t="s">
        <v>402</v>
      </c>
      <c r="G7" s="147" t="s">
        <v>406</v>
      </c>
    </row>
    <row r="8" spans="1:7" ht="16.5" customHeight="1" x14ac:dyDescent="0.35">
      <c r="A8" s="19" t="s">
        <v>407</v>
      </c>
      <c r="B8" s="39">
        <f>BS!B12-BS!B33</f>
        <v>775</v>
      </c>
      <c r="C8" s="39">
        <f>BS!C12-BS!C33</f>
        <v>118</v>
      </c>
      <c r="D8" s="40">
        <f>BS!D12-BS!D33</f>
        <v>-80</v>
      </c>
      <c r="E8" s="36" t="s">
        <v>408</v>
      </c>
      <c r="F8" s="37" t="s">
        <v>409</v>
      </c>
      <c r="G8" s="147" t="s">
        <v>410</v>
      </c>
    </row>
    <row r="9" spans="1:7" ht="16.5" customHeight="1" x14ac:dyDescent="0.35">
      <c r="A9" s="19" t="s">
        <v>411</v>
      </c>
      <c r="B9" s="34">
        <f>CFS!B21/BS!B33</f>
        <v>3.2719999999999998</v>
      </c>
      <c r="C9" s="34">
        <f>CFS!C21/BS!C33</f>
        <v>1.9945602901178603</v>
      </c>
      <c r="D9" s="35">
        <f>CFS!D21/BS!D33</f>
        <v>1.6424375917767988</v>
      </c>
      <c r="E9" s="36" t="s">
        <v>412</v>
      </c>
      <c r="F9" s="38" t="s">
        <v>413</v>
      </c>
      <c r="G9" s="147" t="s">
        <v>414</v>
      </c>
    </row>
    <row r="10" spans="1:7" ht="19.5" customHeight="1" x14ac:dyDescent="0.35">
      <c r="A10" s="121" t="s">
        <v>774</v>
      </c>
      <c r="B10" s="121"/>
      <c r="C10" s="121"/>
      <c r="D10" s="121"/>
      <c r="E10" s="121"/>
      <c r="F10" s="121"/>
      <c r="G10" s="121"/>
    </row>
    <row r="11" spans="1:7" ht="16.5" customHeight="1" x14ac:dyDescent="0.35">
      <c r="A11" s="19" t="s">
        <v>415</v>
      </c>
      <c r="B11" s="22">
        <f>IS!B8/IS!B11</f>
        <v>0.7072355485646874</v>
      </c>
      <c r="C11" s="22">
        <f>IS!C8/IS!C11</f>
        <v>0.70112923462986199</v>
      </c>
      <c r="D11" s="41">
        <f>IS!D8/IS!D11</f>
        <v>0.65295555038398878</v>
      </c>
      <c r="E11" s="36" t="s">
        <v>416</v>
      </c>
      <c r="F11" s="38" t="s">
        <v>417</v>
      </c>
      <c r="G11" s="147" t="s">
        <v>418</v>
      </c>
    </row>
    <row r="12" spans="1:7" ht="16.5" customHeight="1" x14ac:dyDescent="0.35">
      <c r="A12" s="19" t="s">
        <v>419</v>
      </c>
      <c r="B12" s="22">
        <f>IS!B17/IS!B8</f>
        <v>0.27133722546566585</v>
      </c>
      <c r="C12" s="22">
        <f>IS!C17/IS!C8</f>
        <v>0.28480672870436652</v>
      </c>
      <c r="D12" s="41">
        <f>IS!D17/IS!D8</f>
        <v>0.31782945736434109</v>
      </c>
      <c r="E12" s="36" t="s">
        <v>420</v>
      </c>
      <c r="F12" s="37" t="s">
        <v>421</v>
      </c>
      <c r="G12" s="147" t="s">
        <v>422</v>
      </c>
    </row>
    <row r="13" spans="1:7" ht="16.5" customHeight="1" x14ac:dyDescent="0.35">
      <c r="A13" s="19" t="s">
        <v>423</v>
      </c>
      <c r="B13" s="22">
        <f>IS!B33/IS!B11</f>
        <v>0.30298859614628393</v>
      </c>
      <c r="C13" s="22">
        <f>IS!C33/IS!C11</f>
        <v>0.2328732747804266</v>
      </c>
      <c r="D13" s="41">
        <f>IS!D33/IS!D11</f>
        <v>0.20165231556900162</v>
      </c>
      <c r="E13" s="36" t="s">
        <v>424</v>
      </c>
      <c r="F13" s="38" t="s">
        <v>402</v>
      </c>
      <c r="G13" s="147" t="s">
        <v>425</v>
      </c>
    </row>
    <row r="14" spans="1:7" ht="16.5" customHeight="1" x14ac:dyDescent="0.35">
      <c r="A14" s="19" t="s">
        <v>426</v>
      </c>
      <c r="B14" s="22">
        <f>IS!B35/IS!B11</f>
        <v>0.24786996985188098</v>
      </c>
      <c r="C14" s="22">
        <f>IS!C35/IS!C11</f>
        <v>0.18456712672521958</v>
      </c>
      <c r="D14" s="41">
        <f>IS!D35/IS!D11</f>
        <v>0.15598091691878055</v>
      </c>
      <c r="E14" s="36" t="s">
        <v>427</v>
      </c>
      <c r="F14" s="38" t="s">
        <v>402</v>
      </c>
      <c r="G14" s="147" t="s">
        <v>428</v>
      </c>
    </row>
    <row r="15" spans="1:7" ht="16.5" customHeight="1" x14ac:dyDescent="0.35">
      <c r="A15" s="19" t="s">
        <v>429</v>
      </c>
      <c r="B15" s="22">
        <f>IS!B51/IS!B11</f>
        <v>0.49377375802857515</v>
      </c>
      <c r="C15" s="22">
        <f>IS!C51/IS!C11</f>
        <v>0.48550815558343791</v>
      </c>
      <c r="D15" s="41">
        <f>IS!D51/IS!D11</f>
        <v>0.43128927158482661</v>
      </c>
      <c r="E15" s="36" t="s">
        <v>430</v>
      </c>
      <c r="F15" s="38" t="s">
        <v>431</v>
      </c>
      <c r="G15" s="147" t="s">
        <v>432</v>
      </c>
    </row>
    <row r="16" spans="1:7" ht="16.5" customHeight="1" x14ac:dyDescent="0.35">
      <c r="A16" s="19" t="s">
        <v>433</v>
      </c>
      <c r="B16" s="22">
        <f>IS!B35/BS!B22</f>
        <v>0.15443037974683543</v>
      </c>
      <c r="C16" s="22">
        <f>IS!C35/(BS!B22+BS!C22)*2</f>
        <v>0.10702268138743884</v>
      </c>
      <c r="D16" s="41">
        <f>IS!D35/(BS!C22+BS!D22)*2</f>
        <v>8.6361293647725809E-2</v>
      </c>
      <c r="E16" s="36" t="s">
        <v>434</v>
      </c>
      <c r="F16" s="38" t="s">
        <v>402</v>
      </c>
      <c r="G16" s="147" t="s">
        <v>435</v>
      </c>
    </row>
    <row r="17" spans="1:7" ht="16.5" customHeight="1" x14ac:dyDescent="0.35">
      <c r="A17" s="19" t="s">
        <v>436</v>
      </c>
      <c r="B17" s="22">
        <f>IS!B37/BS!B50</f>
        <v>0.31067075698532459</v>
      </c>
      <c r="C17" s="22">
        <f>IS!C37/(BS!B50+BS!C50)*2</f>
        <v>0.21772037504236172</v>
      </c>
      <c r="D17" s="41">
        <f>IS!D37/(BS!C50+BS!D50)*2</f>
        <v>0.17599253930189182</v>
      </c>
      <c r="E17" s="36" t="s">
        <v>437</v>
      </c>
      <c r="F17" s="38" t="s">
        <v>431</v>
      </c>
      <c r="G17" s="147" t="s">
        <v>438</v>
      </c>
    </row>
    <row r="18" spans="1:7" ht="16.5" customHeight="1" x14ac:dyDescent="0.35">
      <c r="A18" s="19" t="s">
        <v>439</v>
      </c>
      <c r="B18" s="22">
        <f>IS!B33/(BS!B22-BS!B33)</f>
        <v>0.20555802578923965</v>
      </c>
      <c r="C18" s="22">
        <f>IS!C33/(BS!C22-BS!C33)</f>
        <v>0.1365710080941869</v>
      </c>
      <c r="D18" s="41">
        <f>IS!D33/(BS!D22-BS!D33)</f>
        <v>0.12597681096209065</v>
      </c>
      <c r="E18" s="36" t="s">
        <v>427</v>
      </c>
      <c r="F18" s="38" t="s">
        <v>402</v>
      </c>
      <c r="G18" s="147" t="s">
        <v>440</v>
      </c>
    </row>
    <row r="19" spans="1:7" ht="16.5" customHeight="1" x14ac:dyDescent="0.35">
      <c r="A19" s="19" t="s">
        <v>441</v>
      </c>
      <c r="B19" s="22">
        <f>IS!B34/IS!B33</f>
        <v>0.18191650443434998</v>
      </c>
      <c r="C19" s="22">
        <f>IS!C34/IS!C33</f>
        <v>0.20743534482758622</v>
      </c>
      <c r="D19" s="41">
        <f>IS!D34/IS!D33</f>
        <v>0.22648586266589729</v>
      </c>
      <c r="E19" s="36" t="s">
        <v>442</v>
      </c>
      <c r="F19" s="38" t="s">
        <v>443</v>
      </c>
      <c r="G19" s="147" t="s">
        <v>444</v>
      </c>
    </row>
    <row r="20" spans="1:7" ht="19.5" customHeight="1" x14ac:dyDescent="0.35">
      <c r="A20" s="154" t="s">
        <v>860</v>
      </c>
      <c r="B20" s="121"/>
      <c r="C20" s="121"/>
      <c r="D20" s="121"/>
      <c r="E20" s="121"/>
      <c r="F20" s="121"/>
      <c r="G20" s="121"/>
    </row>
    <row r="21" spans="1:7" ht="16.5" customHeight="1" x14ac:dyDescent="0.35">
      <c r="A21" s="19" t="s">
        <v>445</v>
      </c>
      <c r="B21" s="34">
        <f>(BS!B35+BS!B27)/BS!B52</f>
        <v>0.57591880166980436</v>
      </c>
      <c r="C21" s="34">
        <f>(BS!C35+BS!C27)/BS!C52</f>
        <v>0.66852557127312295</v>
      </c>
      <c r="D21" s="35">
        <f>(BS!D35+BS!D27)/BS!D52</f>
        <v>0.57199896960329732</v>
      </c>
      <c r="E21" s="36" t="s">
        <v>446</v>
      </c>
      <c r="F21" s="38" t="s">
        <v>447</v>
      </c>
      <c r="G21" s="155" t="s">
        <v>448</v>
      </c>
    </row>
    <row r="22" spans="1:7" ht="16.5" customHeight="1" x14ac:dyDescent="0.35">
      <c r="A22" s="19" t="s">
        <v>449</v>
      </c>
      <c r="B22" s="34">
        <f>(BS!B35+BS!B27-BS!B7)/IS!B51</f>
        <v>0.81775949031059203</v>
      </c>
      <c r="C22" s="34">
        <f>(BS!C35+BS!C27-BS!C7)/IS!C51</f>
        <v>1.1608734978679416</v>
      </c>
      <c r="D22" s="35">
        <f>(BS!D35+BS!D27-BS!D7)/IS!D51</f>
        <v>1.0047214353163361</v>
      </c>
      <c r="E22" s="36" t="s">
        <v>450</v>
      </c>
      <c r="F22" s="38" t="s">
        <v>417</v>
      </c>
      <c r="G22" s="155" t="s">
        <v>451</v>
      </c>
    </row>
    <row r="23" spans="1:7" ht="16.5" customHeight="1" x14ac:dyDescent="0.35">
      <c r="A23" s="19" t="s">
        <v>452</v>
      </c>
      <c r="B23" s="34">
        <f>4623/308</f>
        <v>15.00974025974026</v>
      </c>
      <c r="C23" s="34">
        <f>3712/363</f>
        <v>10.225895316804408</v>
      </c>
      <c r="D23" s="35">
        <f>3466/455</f>
        <v>7.6175824175824172</v>
      </c>
      <c r="E23" s="36" t="s">
        <v>453</v>
      </c>
      <c r="F23" s="38" t="s">
        <v>413</v>
      </c>
      <c r="G23" s="155" t="s">
        <v>454</v>
      </c>
    </row>
    <row r="24" spans="1:7" ht="16.5" customHeight="1" x14ac:dyDescent="0.35">
      <c r="A24" s="19" t="s">
        <v>455</v>
      </c>
      <c r="B24" s="22">
        <f>BS!B52/BS!B22</f>
        <v>0.49885667619436502</v>
      </c>
      <c r="C24" s="22">
        <f>BS!C52/BS!C22</f>
        <v>0.4822722949260389</v>
      </c>
      <c r="D24" s="41">
        <f>BS!D52/BS!D22</f>
        <v>0.49140795594797304</v>
      </c>
      <c r="E24" s="36" t="s">
        <v>430</v>
      </c>
      <c r="F24" s="38" t="s">
        <v>402</v>
      </c>
      <c r="G24" s="155" t="s">
        <v>456</v>
      </c>
    </row>
    <row r="25" spans="1:7" ht="16.5" customHeight="1" x14ac:dyDescent="0.35">
      <c r="A25" s="19" t="s">
        <v>457</v>
      </c>
      <c r="B25" s="22">
        <f>BS!B42/BS!B22</f>
        <v>0.50114332380563498</v>
      </c>
      <c r="C25" s="22">
        <f>BS!C42/BS!C22</f>
        <v>0.51772770507396115</v>
      </c>
      <c r="D25" s="41">
        <f>BS!D42/BS!D22</f>
        <v>0.50859204405202696</v>
      </c>
      <c r="E25" s="36" t="s">
        <v>458</v>
      </c>
      <c r="F25" s="38" t="s">
        <v>417</v>
      </c>
      <c r="G25" s="155" t="s">
        <v>459</v>
      </c>
    </row>
    <row r="26" spans="1:7" ht="16.5" customHeight="1" x14ac:dyDescent="0.35">
      <c r="A26" s="19" t="s">
        <v>460</v>
      </c>
      <c r="B26" s="39">
        <f>BS!B35+BS!B27</f>
        <v>7036</v>
      </c>
      <c r="C26" s="39">
        <f>BS!C35+BS!C27</f>
        <v>9830</v>
      </c>
      <c r="D26" s="40">
        <f>BS!D35+BS!D27</f>
        <v>8882</v>
      </c>
      <c r="E26" s="36" t="s">
        <v>461</v>
      </c>
      <c r="F26" s="38" t="s">
        <v>462</v>
      </c>
      <c r="G26" s="155" t="s">
        <v>463</v>
      </c>
    </row>
    <row r="27" spans="1:7" ht="16.5" customHeight="1" x14ac:dyDescent="0.35">
      <c r="A27" s="19" t="s">
        <v>464</v>
      </c>
      <c r="B27" s="39">
        <f>BS!B35+BS!B27-BS!B7</f>
        <v>6161</v>
      </c>
      <c r="C27" s="39">
        <f>BS!C35+BS!C27-BS!C7</f>
        <v>8984</v>
      </c>
      <c r="D27" s="40">
        <f>BS!D35+BS!D27-BS!D7</f>
        <v>7448</v>
      </c>
      <c r="E27" s="36" t="s">
        <v>465</v>
      </c>
      <c r="F27" s="38" t="s">
        <v>466</v>
      </c>
      <c r="G27" s="155" t="s">
        <v>467</v>
      </c>
    </row>
    <row r="28" spans="1:7" ht="19.5" customHeight="1" x14ac:dyDescent="0.35">
      <c r="A28" s="154" t="s">
        <v>805</v>
      </c>
      <c r="B28" s="121"/>
      <c r="C28" s="121"/>
      <c r="D28" s="121"/>
      <c r="E28" s="121"/>
      <c r="F28" s="121"/>
      <c r="G28" s="121"/>
    </row>
    <row r="29" spans="1:7" ht="16.5" customHeight="1" x14ac:dyDescent="0.35">
      <c r="A29" s="19" t="s">
        <v>468</v>
      </c>
      <c r="B29" s="34">
        <f>IS!B11/BS!B22</f>
        <v>0.62302980808493258</v>
      </c>
      <c r="C29" s="34">
        <f>IS!C11/(BS!B22+BS!C22)*2</f>
        <v>0.57985776387347898</v>
      </c>
      <c r="D29" s="35">
        <f>IS!D11/(BS!C22+BS!D22)*2</f>
        <v>0.55366576472104112</v>
      </c>
      <c r="E29" s="36" t="s">
        <v>469</v>
      </c>
      <c r="F29" s="38" t="s">
        <v>470</v>
      </c>
      <c r="G29" s="147" t="s">
        <v>471</v>
      </c>
    </row>
    <row r="30" spans="1:7" ht="16.5" customHeight="1" x14ac:dyDescent="0.35">
      <c r="A30" s="19" t="s">
        <v>472</v>
      </c>
      <c r="B30" s="42">
        <f>BS!B8/(IS!B8/365)</f>
        <v>49.045500880363264</v>
      </c>
      <c r="C30" s="42">
        <f>BS!C8/(IS!C8/365)</f>
        <v>64.404080171796707</v>
      </c>
      <c r="D30" s="43">
        <f>BS!D8/(IS!D8/365)</f>
        <v>58.280317205738214</v>
      </c>
      <c r="E30" s="36" t="s">
        <v>473</v>
      </c>
      <c r="F30" s="37" t="s">
        <v>409</v>
      </c>
      <c r="G30" s="147" t="s">
        <v>474</v>
      </c>
    </row>
    <row r="31" spans="1:7" ht="16.5" customHeight="1" x14ac:dyDescent="0.35">
      <c r="A31" s="19" t="s">
        <v>475</v>
      </c>
      <c r="B31" s="42">
        <f>BS!B26/(IS!B17/365)</f>
        <v>81.02800546448087</v>
      </c>
      <c r="C31" s="42">
        <f>BS!C26/(IS!C17/365)</f>
        <v>92.425384857053089</v>
      </c>
      <c r="D31" s="43">
        <f>BS!D26/(IS!D17/365)</f>
        <v>80.838239416876931</v>
      </c>
      <c r="E31" s="36" t="s">
        <v>476</v>
      </c>
      <c r="F31" s="38" t="s">
        <v>417</v>
      </c>
      <c r="G31" s="147" t="s">
        <v>477</v>
      </c>
    </row>
    <row r="32" spans="1:7" ht="16.5" customHeight="1" x14ac:dyDescent="0.35">
      <c r="A32" s="19" t="s">
        <v>478</v>
      </c>
      <c r="B32" s="44">
        <f>IS!B17/BS!B9</f>
        <v>14.64</v>
      </c>
      <c r="C32" s="44">
        <f>IS!C17/(BS!B9+BS!C9)*2</f>
        <v>12.88663967611336</v>
      </c>
      <c r="D32" s="45">
        <f>IS!D17/(BS!C9+BS!D9)*2</f>
        <v>11.323809523809524</v>
      </c>
      <c r="E32" s="36" t="s">
        <v>479</v>
      </c>
      <c r="F32" s="38" t="s">
        <v>431</v>
      </c>
      <c r="G32" s="147" t="s">
        <v>480</v>
      </c>
    </row>
    <row r="33" spans="1:7" ht="16.5" customHeight="1" x14ac:dyDescent="0.35">
      <c r="A33" s="19" t="s">
        <v>481</v>
      </c>
      <c r="B33" s="34">
        <f>IS!B11/BS!B14</f>
        <v>0.84298342541436466</v>
      </c>
      <c r="C33" s="34">
        <f>IS!C11/BS!C14</f>
        <v>0.68712820070695746</v>
      </c>
      <c r="D33" s="35">
        <f>IS!D11/BS!D14</f>
        <v>0.7242846909106232</v>
      </c>
      <c r="E33" s="36" t="s">
        <v>482</v>
      </c>
      <c r="F33" s="38" t="s">
        <v>470</v>
      </c>
      <c r="G33" s="147" t="s">
        <v>483</v>
      </c>
    </row>
    <row r="34" spans="1:7" ht="19.5" customHeight="1" x14ac:dyDescent="0.35">
      <c r="A34" s="154" t="s">
        <v>821</v>
      </c>
      <c r="B34" s="121"/>
      <c r="C34" s="121"/>
      <c r="D34" s="121"/>
      <c r="E34" s="121"/>
      <c r="F34" s="121"/>
      <c r="G34" s="121"/>
    </row>
    <row r="35" spans="1:7" ht="16.5" customHeight="1" x14ac:dyDescent="0.35">
      <c r="A35" s="19" t="s">
        <v>484</v>
      </c>
      <c r="B35" s="39">
        <f>CFS!B55</f>
        <v>2661</v>
      </c>
      <c r="C35" s="39">
        <f>CFS!C55</f>
        <v>2955</v>
      </c>
      <c r="D35" s="40">
        <f>CFS!D55</f>
        <v>3119</v>
      </c>
      <c r="E35" s="36" t="s">
        <v>485</v>
      </c>
      <c r="F35" s="38" t="s">
        <v>431</v>
      </c>
      <c r="G35" s="147" t="s">
        <v>486</v>
      </c>
    </row>
    <row r="36" spans="1:7" ht="16.5" customHeight="1" x14ac:dyDescent="0.35">
      <c r="A36" s="19" t="s">
        <v>487</v>
      </c>
      <c r="B36" s="22">
        <f>CFS!B55/IS!B11</f>
        <v>0.17440031458906802</v>
      </c>
      <c r="C36" s="22">
        <f>CFS!C55/IS!C11</f>
        <v>0.18538268506900879</v>
      </c>
      <c r="D36" s="41">
        <f>CFS!D55/IS!D11</f>
        <v>0.18146381196183384</v>
      </c>
      <c r="E36" s="36" t="s">
        <v>437</v>
      </c>
      <c r="F36" s="38" t="s">
        <v>431</v>
      </c>
      <c r="G36" s="147" t="s">
        <v>488</v>
      </c>
    </row>
    <row r="37" spans="1:7" ht="16.5" customHeight="1" x14ac:dyDescent="0.35">
      <c r="A37" s="19" t="s">
        <v>489</v>
      </c>
      <c r="B37" s="34">
        <f>CFS!B21/IS!B35</f>
        <v>1.7303014278159703</v>
      </c>
      <c r="C37" s="34">
        <f>CFS!C21/IS!C35</f>
        <v>2.2433718558803535</v>
      </c>
      <c r="D37" s="35">
        <f>CFS!D21/IS!D35</f>
        <v>2.503170458784036</v>
      </c>
      <c r="E37" s="36" t="s">
        <v>412</v>
      </c>
      <c r="F37" s="38" t="s">
        <v>431</v>
      </c>
      <c r="G37" s="147" t="s">
        <v>490</v>
      </c>
    </row>
    <row r="38" spans="1:7" ht="16.5" customHeight="1" x14ac:dyDescent="0.35">
      <c r="A38" s="19" t="s">
        <v>491</v>
      </c>
      <c r="B38" s="22">
        <f>ABS(CFS!B24)/IS!B11</f>
        <v>0.25448944815834318</v>
      </c>
      <c r="C38" s="22">
        <f>ABS(CFS!C24)/IS!C11</f>
        <v>0.22867001254705144</v>
      </c>
      <c r="D38" s="41">
        <f>ABS(CFS!D24)/IS!D11</f>
        <v>0.20898301140330464</v>
      </c>
      <c r="E38" s="36" t="s">
        <v>492</v>
      </c>
      <c r="F38" s="38" t="s">
        <v>417</v>
      </c>
      <c r="G38" s="147" t="s">
        <v>493</v>
      </c>
    </row>
    <row r="39" spans="1:7" ht="16.5" customHeight="1" x14ac:dyDescent="0.35">
      <c r="A39" s="19" t="s">
        <v>494</v>
      </c>
      <c r="B39" s="22">
        <f>ABS(CFS!B37)/IS!B35</f>
        <v>0.49127445795875196</v>
      </c>
      <c r="C39" s="22">
        <f>ABS(CFS!C37)/IS!C35</f>
        <v>0.31849082256968048</v>
      </c>
      <c r="D39" s="41">
        <f>ABS(CFS!D37)/IS!D35</f>
        <v>0.23088399850801938</v>
      </c>
      <c r="E39" s="36" t="s">
        <v>495</v>
      </c>
      <c r="F39" s="38" t="s">
        <v>496</v>
      </c>
      <c r="G39" s="147" t="s">
        <v>497</v>
      </c>
    </row>
    <row r="40" spans="1:7" ht="16.5" customHeight="1" x14ac:dyDescent="0.35">
      <c r="A40" s="19" t="s">
        <v>498</v>
      </c>
      <c r="B40" s="22">
        <f>(ABS(CFS!B37)+ABS(CFS!B36))/IS!B35</f>
        <v>0.75013220518244317</v>
      </c>
      <c r="C40" s="22">
        <f>(ABS(CFS!C37)+ABS(CFS!C36))/IS!C35</f>
        <v>0.67777022433718559</v>
      </c>
      <c r="D40" s="41">
        <f>(ABS(CFS!D37)+ABS(CFS!D36))/IS!D35</f>
        <v>0.62252890712420739</v>
      </c>
      <c r="E40" s="36" t="s">
        <v>499</v>
      </c>
      <c r="F40" s="38" t="s">
        <v>417</v>
      </c>
      <c r="G40" s="147" t="s">
        <v>500</v>
      </c>
    </row>
    <row r="41" spans="1:7" ht="12" customHeight="1" x14ac:dyDescent="0.35"/>
    <row r="42" spans="1:7" ht="25.5" customHeight="1" x14ac:dyDescent="0.35">
      <c r="A42" s="122" t="s">
        <v>501</v>
      </c>
      <c r="B42" s="122"/>
      <c r="C42" s="122"/>
      <c r="D42" s="122"/>
      <c r="E42" s="122"/>
      <c r="F42" s="122"/>
      <c r="G42" s="122"/>
    </row>
    <row r="43" spans="1:7" ht="18" customHeight="1" x14ac:dyDescent="0.35">
      <c r="A43" s="123" t="s">
        <v>502</v>
      </c>
      <c r="B43" s="123"/>
      <c r="C43" s="123" t="s">
        <v>503</v>
      </c>
      <c r="D43" s="123"/>
      <c r="E43" s="123"/>
      <c r="F43" s="123"/>
      <c r="G43" s="46" t="s">
        <v>504</v>
      </c>
    </row>
    <row r="44" spans="1:7" ht="18" customHeight="1" x14ac:dyDescent="0.35">
      <c r="A44" s="117" t="s">
        <v>505</v>
      </c>
      <c r="B44" s="117"/>
      <c r="C44" s="118" t="s">
        <v>506</v>
      </c>
      <c r="D44" s="118"/>
      <c r="E44" s="118"/>
      <c r="F44" s="118"/>
      <c r="G44" s="47" t="s">
        <v>507</v>
      </c>
    </row>
    <row r="45" spans="1:7" ht="18" customHeight="1" x14ac:dyDescent="0.35">
      <c r="A45" s="117" t="s">
        <v>508</v>
      </c>
      <c r="B45" s="117"/>
      <c r="C45" s="118" t="s">
        <v>509</v>
      </c>
      <c r="D45" s="118"/>
      <c r="E45" s="118"/>
      <c r="F45" s="118"/>
      <c r="G45" s="47" t="s">
        <v>507</v>
      </c>
    </row>
    <row r="46" spans="1:7" ht="18" customHeight="1" x14ac:dyDescent="0.35">
      <c r="A46" s="117" t="s">
        <v>510</v>
      </c>
      <c r="B46" s="117"/>
      <c r="C46" s="118" t="s">
        <v>511</v>
      </c>
      <c r="D46" s="118"/>
      <c r="E46" s="118"/>
      <c r="F46" s="118"/>
      <c r="G46" s="48" t="s">
        <v>512</v>
      </c>
    </row>
    <row r="47" spans="1:7" ht="18" customHeight="1" x14ac:dyDescent="0.35">
      <c r="A47" s="117" t="s">
        <v>513</v>
      </c>
      <c r="B47" s="117"/>
      <c r="C47" s="118" t="s">
        <v>514</v>
      </c>
      <c r="D47" s="118"/>
      <c r="E47" s="118"/>
      <c r="F47" s="118"/>
      <c r="G47" s="49" t="s">
        <v>515</v>
      </c>
    </row>
    <row r="48" spans="1:7" ht="18" customHeight="1" x14ac:dyDescent="0.35">
      <c r="A48" s="117" t="s">
        <v>516</v>
      </c>
      <c r="B48" s="117"/>
      <c r="C48" s="118" t="s">
        <v>517</v>
      </c>
      <c r="D48" s="118"/>
      <c r="E48" s="118"/>
      <c r="F48" s="118"/>
      <c r="G48" s="49" t="s">
        <v>515</v>
      </c>
    </row>
    <row r="49" spans="1:7" ht="18" customHeight="1" x14ac:dyDescent="0.35">
      <c r="A49" s="117" t="s">
        <v>518</v>
      </c>
      <c r="B49" s="117"/>
      <c r="C49" s="118" t="s">
        <v>519</v>
      </c>
      <c r="D49" s="118"/>
      <c r="E49" s="118"/>
      <c r="F49" s="118"/>
      <c r="G49" s="50" t="s">
        <v>520</v>
      </c>
    </row>
    <row r="50" spans="1:7" ht="18" customHeight="1" x14ac:dyDescent="0.35">
      <c r="A50" s="117" t="s">
        <v>521</v>
      </c>
      <c r="B50" s="117"/>
      <c r="C50" s="118" t="s">
        <v>522</v>
      </c>
      <c r="D50" s="118"/>
      <c r="E50" s="118"/>
      <c r="F50" s="118"/>
      <c r="G50" s="48" t="s">
        <v>512</v>
      </c>
    </row>
    <row r="51" spans="1:7" ht="18" customHeight="1" x14ac:dyDescent="0.35">
      <c r="A51" s="117" t="s">
        <v>523</v>
      </c>
      <c r="B51" s="117"/>
      <c r="C51" s="118" t="s">
        <v>524</v>
      </c>
      <c r="D51" s="118"/>
      <c r="E51" s="118"/>
      <c r="F51" s="118"/>
      <c r="G51" s="47" t="s">
        <v>507</v>
      </c>
    </row>
    <row r="52" spans="1:7" ht="18" customHeight="1" x14ac:dyDescent="0.35">
      <c r="A52" s="117" t="s">
        <v>525</v>
      </c>
      <c r="B52" s="117"/>
      <c r="C52" s="118" t="s">
        <v>526</v>
      </c>
      <c r="D52" s="118"/>
      <c r="E52" s="118"/>
      <c r="F52" s="118"/>
      <c r="G52" s="51" t="s">
        <v>527</v>
      </c>
    </row>
    <row r="53" spans="1:7" ht="18" customHeight="1" x14ac:dyDescent="0.35">
      <c r="A53" s="117" t="s">
        <v>528</v>
      </c>
      <c r="B53" s="117"/>
      <c r="C53" s="118" t="s">
        <v>529</v>
      </c>
      <c r="D53" s="118"/>
      <c r="E53" s="118"/>
      <c r="F53" s="118"/>
      <c r="G53" s="52" t="s">
        <v>530</v>
      </c>
    </row>
    <row r="54" spans="1:7" ht="12" customHeight="1" x14ac:dyDescent="0.35"/>
    <row r="55" spans="1:7" ht="27.75" customHeight="1" x14ac:dyDescent="0.35">
      <c r="A55" s="119" t="s">
        <v>531</v>
      </c>
      <c r="B55" s="119"/>
      <c r="C55" s="119"/>
      <c r="D55" s="119"/>
      <c r="E55" s="119"/>
      <c r="F55" s="119"/>
      <c r="G55" s="119"/>
    </row>
    <row r="56" spans="1:7" ht="159" customHeight="1" x14ac:dyDescent="0.35">
      <c r="A56" s="156" t="s">
        <v>862</v>
      </c>
      <c r="B56" s="120"/>
      <c r="C56" s="120"/>
      <c r="D56" s="120"/>
      <c r="E56" s="120"/>
      <c r="F56" s="120"/>
      <c r="G56" s="120"/>
    </row>
    <row r="58" spans="1:7" ht="21.75" customHeight="1" x14ac:dyDescent="0.35">
      <c r="A58" s="142" t="s">
        <v>854</v>
      </c>
      <c r="B58" s="111"/>
      <c r="C58" s="111"/>
      <c r="D58" s="111"/>
      <c r="E58" s="111"/>
      <c r="F58" s="111"/>
      <c r="G58" s="111"/>
    </row>
  </sheetData>
  <mergeCells count="33">
    <mergeCell ref="A1:G1"/>
    <mergeCell ref="A2:G2"/>
    <mergeCell ref="A4:G4"/>
    <mergeCell ref="A10:G10"/>
    <mergeCell ref="A20:G20"/>
    <mergeCell ref="A28:G28"/>
    <mergeCell ref="A34:G34"/>
    <mergeCell ref="A42:G42"/>
    <mergeCell ref="A43:B43"/>
    <mergeCell ref="C43:F43"/>
    <mergeCell ref="A44:B44"/>
    <mergeCell ref="C44:F44"/>
    <mergeCell ref="A45:B45"/>
    <mergeCell ref="C45:F45"/>
    <mergeCell ref="A46:B46"/>
    <mergeCell ref="C46:F46"/>
    <mergeCell ref="A47:B47"/>
    <mergeCell ref="C47:F47"/>
    <mergeCell ref="A48:B48"/>
    <mergeCell ref="C48:F48"/>
    <mergeCell ref="A49:B49"/>
    <mergeCell ref="C49:F49"/>
    <mergeCell ref="A50:B50"/>
    <mergeCell ref="C50:F50"/>
    <mergeCell ref="A51:B51"/>
    <mergeCell ref="C51:F51"/>
    <mergeCell ref="A52:B52"/>
    <mergeCell ref="C52:F52"/>
    <mergeCell ref="A53:B53"/>
    <mergeCell ref="C53:F53"/>
    <mergeCell ref="A55:G55"/>
    <mergeCell ref="A56:G56"/>
    <mergeCell ref="A58:G5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zoomScaleNormal="100" workbookViewId="0">
      <selection activeCell="E6" sqref="E6"/>
    </sheetView>
  </sheetViews>
  <sheetFormatPr defaultColWidth="8.6328125" defaultRowHeight="14.5" x14ac:dyDescent="0.35"/>
  <cols>
    <col min="1" max="1" width="42" customWidth="1"/>
    <col min="2" max="7" width="14" customWidth="1"/>
    <col min="8" max="8" width="59.81640625" customWidth="1"/>
  </cols>
  <sheetData>
    <row r="1" spans="1:8" ht="30" customHeight="1" x14ac:dyDescent="0.35">
      <c r="A1" s="136" t="s">
        <v>863</v>
      </c>
      <c r="B1" s="112"/>
      <c r="C1" s="112"/>
      <c r="D1" s="112"/>
      <c r="E1" s="112"/>
      <c r="F1" s="112"/>
      <c r="G1" s="112"/>
      <c r="H1" s="112"/>
    </row>
    <row r="2" spans="1:8" ht="18" customHeight="1" x14ac:dyDescent="0.35">
      <c r="A2" s="113" t="s">
        <v>532</v>
      </c>
      <c r="B2" s="113"/>
      <c r="C2" s="113"/>
      <c r="D2" s="113"/>
      <c r="E2" s="113"/>
      <c r="F2" s="113"/>
      <c r="G2" s="113"/>
      <c r="H2" s="113"/>
    </row>
    <row r="3" spans="1:8" ht="36" customHeight="1" x14ac:dyDescent="0.35">
      <c r="A3" s="18" t="s">
        <v>124</v>
      </c>
      <c r="B3" s="18" t="s">
        <v>533</v>
      </c>
      <c r="C3" s="18" t="s">
        <v>534</v>
      </c>
      <c r="D3" s="18" t="s">
        <v>535</v>
      </c>
      <c r="E3" s="18" t="s">
        <v>536</v>
      </c>
      <c r="F3" s="18" t="s">
        <v>537</v>
      </c>
      <c r="G3" s="18" t="s">
        <v>538</v>
      </c>
      <c r="H3" s="18" t="s">
        <v>539</v>
      </c>
    </row>
    <row r="4" spans="1:8" ht="19.5" customHeight="1" x14ac:dyDescent="0.35">
      <c r="A4" s="157" t="s">
        <v>864</v>
      </c>
      <c r="B4" s="124"/>
      <c r="C4" s="124"/>
      <c r="D4" s="124"/>
      <c r="E4" s="124"/>
      <c r="F4" s="124"/>
      <c r="G4" s="124"/>
      <c r="H4" s="124"/>
    </row>
    <row r="5" spans="1:8" ht="15.75" customHeight="1" x14ac:dyDescent="0.35">
      <c r="A5" s="19" t="s">
        <v>540</v>
      </c>
      <c r="B5" s="53">
        <f>IS!B8/IS!B11</f>
        <v>0.7072355485646874</v>
      </c>
      <c r="C5" s="53">
        <f>IS!C8/IS!C11</f>
        <v>0.70112923462986199</v>
      </c>
      <c r="D5" s="53">
        <f>IS!D8/IS!D11</f>
        <v>0.65295555038398878</v>
      </c>
      <c r="E5" s="54">
        <f>C5-B5</f>
        <v>-6.1063139348254136E-3</v>
      </c>
      <c r="F5" s="54">
        <f t="shared" ref="F5:F14" si="0">D5-C5</f>
        <v>-4.8173684245873205E-2</v>
      </c>
      <c r="G5" s="158" t="str">
        <f>IF(D5&gt;B5,"↑ Rising",IF(D5&lt;B5,"↓ Falling","→ Stable"))</f>
        <v>↓ Falling</v>
      </c>
      <c r="H5" s="147" t="s">
        <v>541</v>
      </c>
    </row>
    <row r="6" spans="1:8" ht="15.75" customHeight="1" x14ac:dyDescent="0.35">
      <c r="A6" s="19" t="s">
        <v>542</v>
      </c>
      <c r="B6" s="53">
        <f>IS!B10/IS!B11</f>
        <v>0.28503080351291127</v>
      </c>
      <c r="C6" s="53">
        <f>IS!C10/IS!C11</f>
        <v>0.29755332496863235</v>
      </c>
      <c r="D6" s="53">
        <f>IS!D10/IS!D11</f>
        <v>0.32365603909704443</v>
      </c>
      <c r="E6" s="54">
        <f t="shared" ref="E5:E14" si="1">C6-B6</f>
        <v>1.2522521455721081E-2</v>
      </c>
      <c r="F6" s="54">
        <f t="shared" si="0"/>
        <v>2.6102714128412086E-2</v>
      </c>
      <c r="G6" s="159" t="str">
        <f t="shared" ref="G5:G14" si="2">IF(D6&gt;B6,"↑ Rising",IF(D6&lt;B6,"↓ Falling","→ Stable"))</f>
        <v>↑ Rising</v>
      </c>
      <c r="H6" s="147" t="s">
        <v>543</v>
      </c>
    </row>
    <row r="7" spans="1:8" ht="15.75" customHeight="1" x14ac:dyDescent="0.35">
      <c r="A7" s="24" t="s">
        <v>544</v>
      </c>
      <c r="B7" s="41">
        <v>1</v>
      </c>
      <c r="C7" s="41">
        <v>1</v>
      </c>
      <c r="D7" s="41">
        <v>1</v>
      </c>
      <c r="E7" s="55">
        <f t="shared" si="1"/>
        <v>0</v>
      </c>
      <c r="F7" s="55">
        <f t="shared" si="0"/>
        <v>0</v>
      </c>
      <c r="G7" s="160" t="str">
        <f t="shared" si="2"/>
        <v>→ Stable</v>
      </c>
      <c r="H7" s="147" t="s">
        <v>545</v>
      </c>
    </row>
    <row r="8" spans="1:8" ht="15.75" customHeight="1" x14ac:dyDescent="0.35">
      <c r="A8" s="19" t="s">
        <v>546</v>
      </c>
      <c r="B8" s="53">
        <f>IS!B17/IS!B11</f>
        <v>0.19189933149823044</v>
      </c>
      <c r="C8" s="53">
        <f>IS!C17/IS!C11</f>
        <v>0.19968632371392722</v>
      </c>
      <c r="D8" s="53">
        <f>IS!D17/IS!D11</f>
        <v>0.20752850826157784</v>
      </c>
      <c r="E8" s="54">
        <f t="shared" si="1"/>
        <v>7.7869922156967863E-3</v>
      </c>
      <c r="F8" s="54">
        <f t="shared" si="0"/>
        <v>7.8421845476506213E-3</v>
      </c>
      <c r="G8" s="159" t="str">
        <f t="shared" si="2"/>
        <v>↑ Rising</v>
      </c>
      <c r="H8" s="147" t="s">
        <v>547</v>
      </c>
    </row>
    <row r="9" spans="1:8" ht="15.75" customHeight="1" x14ac:dyDescent="0.35">
      <c r="A9" s="19" t="s">
        <v>548</v>
      </c>
      <c r="B9" s="53">
        <f>IS!B28/IS!B11</f>
        <v>0</v>
      </c>
      <c r="C9" s="53">
        <f>IS!C28/IS!C11</f>
        <v>0</v>
      </c>
      <c r="D9" s="53">
        <f>IS!D28/IS!D11</f>
        <v>0</v>
      </c>
      <c r="E9" s="54">
        <f t="shared" si="1"/>
        <v>0</v>
      </c>
      <c r="F9" s="54">
        <f t="shared" si="0"/>
        <v>0</v>
      </c>
      <c r="G9" s="160" t="str">
        <f t="shared" si="2"/>
        <v>→ Stable</v>
      </c>
      <c r="H9" s="147" t="s">
        <v>549</v>
      </c>
    </row>
    <row r="10" spans="1:8" ht="15.75" customHeight="1" x14ac:dyDescent="0.35">
      <c r="A10" s="19" t="s">
        <v>550</v>
      </c>
      <c r="B10" s="53">
        <f>IS!B31/IS!B11</f>
        <v>0</v>
      </c>
      <c r="C10" s="53">
        <f>IS!C31/IS!C11</f>
        <v>0</v>
      </c>
      <c r="D10" s="53">
        <f>IS!D31/IS!D11</f>
        <v>0</v>
      </c>
      <c r="E10" s="54">
        <f t="shared" si="1"/>
        <v>0</v>
      </c>
      <c r="F10" s="54">
        <f t="shared" si="0"/>
        <v>0</v>
      </c>
      <c r="G10" s="160" t="str">
        <f t="shared" si="2"/>
        <v>→ Stable</v>
      </c>
      <c r="H10" s="147" t="s">
        <v>551</v>
      </c>
    </row>
    <row r="11" spans="1:8" ht="15.75" customHeight="1" x14ac:dyDescent="0.35">
      <c r="A11" s="19" t="s">
        <v>552</v>
      </c>
      <c r="B11" s="53">
        <f>IS!B32/IS!B11</f>
        <v>0</v>
      </c>
      <c r="C11" s="53">
        <f>IS!C32/IS!C11</f>
        <v>0</v>
      </c>
      <c r="D11" s="53">
        <f>IS!D32/IS!D11</f>
        <v>0</v>
      </c>
      <c r="E11" s="54">
        <f t="shared" si="1"/>
        <v>0</v>
      </c>
      <c r="F11" s="54">
        <f t="shared" si="0"/>
        <v>0</v>
      </c>
      <c r="G11" s="160" t="str">
        <f t="shared" si="2"/>
        <v>→ Stable</v>
      </c>
      <c r="H11" s="147" t="s">
        <v>553</v>
      </c>
    </row>
    <row r="12" spans="1:8" ht="15.75" customHeight="1" x14ac:dyDescent="0.35">
      <c r="A12" s="24" t="s">
        <v>554</v>
      </c>
      <c r="B12" s="41">
        <f>IS!B33/IS!B11</f>
        <v>0.30298859614628393</v>
      </c>
      <c r="C12" s="41">
        <f>IS!C33/IS!C11</f>
        <v>0.2328732747804266</v>
      </c>
      <c r="D12" s="41">
        <f>IS!D33/IS!D11</f>
        <v>0.20165231556900162</v>
      </c>
      <c r="E12" s="55">
        <f t="shared" si="1"/>
        <v>-7.0115321365857325E-2</v>
      </c>
      <c r="F12" s="55">
        <f t="shared" si="0"/>
        <v>-3.1220959211424981E-2</v>
      </c>
      <c r="G12" s="158" t="str">
        <f>IF(D12&gt;B12,"↑ Rising",IF(D12&lt;B12,"↓ Falling","→ Stable"))</f>
        <v>↓ Falling</v>
      </c>
      <c r="H12" s="147" t="s">
        <v>555</v>
      </c>
    </row>
    <row r="13" spans="1:8" ht="15.75" customHeight="1" x14ac:dyDescent="0.35">
      <c r="A13" s="24" t="s">
        <v>556</v>
      </c>
      <c r="B13" s="41">
        <f>IS!B35/IS!B11</f>
        <v>0.24786996985188098</v>
      </c>
      <c r="C13" s="41">
        <f>IS!C35/IS!C11</f>
        <v>0.18456712672521958</v>
      </c>
      <c r="D13" s="41">
        <f>IS!D35/IS!D11</f>
        <v>0.15598091691878055</v>
      </c>
      <c r="E13" s="55">
        <f t="shared" si="1"/>
        <v>-6.3302843126661401E-2</v>
      </c>
      <c r="F13" s="55">
        <f t="shared" si="0"/>
        <v>-2.8586209806439028E-2</v>
      </c>
      <c r="G13" s="158" t="str">
        <f>IF(D13&gt;B13,"↑ Rising",IF(D13&lt;B13,"↓ Falling","→ Stable"))</f>
        <v>↓ Falling</v>
      </c>
      <c r="H13" s="147" t="s">
        <v>557</v>
      </c>
    </row>
    <row r="14" spans="1:8" ht="15.75" customHeight="1" x14ac:dyDescent="0.35">
      <c r="A14" s="24" t="s">
        <v>558</v>
      </c>
      <c r="B14" s="41">
        <f>IS!B51/IS!B11</f>
        <v>0.49377375802857515</v>
      </c>
      <c r="C14" s="41">
        <f>IS!C51/IS!C11</f>
        <v>0.48550815558343791</v>
      </c>
      <c r="D14" s="41">
        <f>IS!D51/IS!D11</f>
        <v>0.43128927158482661</v>
      </c>
      <c r="E14" s="55">
        <f t="shared" si="1"/>
        <v>-8.2656024451372434E-3</v>
      </c>
      <c r="F14" s="55">
        <f t="shared" si="0"/>
        <v>-5.42188839986113E-2</v>
      </c>
      <c r="G14" s="158" t="str">
        <f>IF(D14&gt;B14,"↑ Rising",IF(D14&lt;B14,"↓ Falling","→ Stable"))</f>
        <v>↓ Falling</v>
      </c>
      <c r="H14" s="147" t="s">
        <v>559</v>
      </c>
    </row>
    <row r="16" spans="1:8" ht="19.5" customHeight="1" x14ac:dyDescent="0.35">
      <c r="A16" s="157" t="s">
        <v>865</v>
      </c>
      <c r="B16" s="124"/>
      <c r="C16" s="124"/>
      <c r="D16" s="124"/>
      <c r="E16" s="124"/>
      <c r="F16" s="124"/>
      <c r="G16" s="124"/>
      <c r="H16" s="124"/>
    </row>
    <row r="17" spans="1:8" ht="15.75" customHeight="1" x14ac:dyDescent="0.35">
      <c r="A17" s="19" t="s">
        <v>560</v>
      </c>
      <c r="B17" s="53">
        <f>BS!B7/BS!B22</f>
        <v>3.5728868926092283E-2</v>
      </c>
      <c r="C17" s="53">
        <f>BS!C7/BS!C22</f>
        <v>2.7747712289678244E-2</v>
      </c>
      <c r="D17" s="53">
        <f>BS!D7/BS!D22</f>
        <v>4.5381182948827495E-2</v>
      </c>
      <c r="E17" s="54">
        <f t="shared" ref="E17:F22" si="3">C17-B17</f>
        <v>-7.9811566364140392E-3</v>
      </c>
      <c r="F17" s="54">
        <f t="shared" si="3"/>
        <v>1.7633470659149251E-2</v>
      </c>
      <c r="G17" s="159" t="str">
        <f t="shared" ref="G17:G19" si="4">IF(D17&gt;B17,"↑ Rising",IF(D17&lt;B17,"↓ Falling","→ Stable"))</f>
        <v>↑ Rising</v>
      </c>
      <c r="H17" s="147" t="s">
        <v>561</v>
      </c>
    </row>
    <row r="18" spans="1:8" ht="15.75" customHeight="1" x14ac:dyDescent="0.35">
      <c r="A18" s="19" t="s">
        <v>562</v>
      </c>
      <c r="B18" s="53">
        <f>BS!B14/BS!B22</f>
        <v>0.73907717435688036</v>
      </c>
      <c r="C18" s="53">
        <f>BS!C14/BS!C22</f>
        <v>0.7608645741086949</v>
      </c>
      <c r="D18" s="53">
        <f>BS!D14/BS!D22</f>
        <v>0.75100477863223525</v>
      </c>
      <c r="E18" s="54">
        <f t="shared" si="3"/>
        <v>2.178739975181454E-2</v>
      </c>
      <c r="F18" s="54">
        <f t="shared" si="3"/>
        <v>-9.859795476459654E-3</v>
      </c>
      <c r="G18" s="159" t="str">
        <f t="shared" si="4"/>
        <v>↑ Rising</v>
      </c>
      <c r="H18" s="147" t="s">
        <v>563</v>
      </c>
    </row>
    <row r="19" spans="1:8" ht="15.75" customHeight="1" x14ac:dyDescent="0.35">
      <c r="A19" s="24" t="s">
        <v>564</v>
      </c>
      <c r="B19" s="41">
        <v>1</v>
      </c>
      <c r="C19" s="41">
        <v>1</v>
      </c>
      <c r="D19" s="41">
        <v>1</v>
      </c>
      <c r="E19" s="55">
        <f t="shared" si="3"/>
        <v>0</v>
      </c>
      <c r="F19" s="55">
        <f t="shared" si="3"/>
        <v>0</v>
      </c>
      <c r="G19" s="160" t="str">
        <f t="shared" si="4"/>
        <v>→ Stable</v>
      </c>
      <c r="H19" s="147" t="s">
        <v>565</v>
      </c>
    </row>
    <row r="20" spans="1:8" ht="15.75" customHeight="1" x14ac:dyDescent="0.35">
      <c r="A20" s="19" t="s">
        <v>566</v>
      </c>
      <c r="B20" s="53">
        <f>BS!B35/BS!B22</f>
        <v>0.25055124540628826</v>
      </c>
      <c r="C20" s="53">
        <f>BS!C35/BS!C22</f>
        <v>0.27544360261077766</v>
      </c>
      <c r="D20" s="53">
        <f>BS!D35/BS!D22</f>
        <v>0.23389980695591633</v>
      </c>
      <c r="E20" s="54">
        <f t="shared" si="3"/>
        <v>2.4892357204489401E-2</v>
      </c>
      <c r="F20" s="54">
        <f t="shared" si="3"/>
        <v>-4.1543795654861326E-2</v>
      </c>
      <c r="G20" s="158" t="str">
        <f>IF(D20&gt;B20,"↑ Rising",IF(D20&lt;B20,"↓ Falling","→ Stable"))</f>
        <v>↓ Falling</v>
      </c>
      <c r="H20" s="147" t="s">
        <v>567</v>
      </c>
    </row>
    <row r="21" spans="1:8" ht="15.75" customHeight="1" x14ac:dyDescent="0.35">
      <c r="A21" s="24" t="s">
        <v>568</v>
      </c>
      <c r="B21" s="41">
        <f>BS!B50/BS!B22</f>
        <v>0.49248672927725601</v>
      </c>
      <c r="C21" s="41">
        <f>BS!C50/BS!C22</f>
        <v>0.47545016235363574</v>
      </c>
      <c r="D21" s="41">
        <f>BS!D50/BS!D22</f>
        <v>0.49140795594797304</v>
      </c>
      <c r="E21" s="55">
        <f t="shared" si="3"/>
        <v>-1.7036566923620267E-2</v>
      </c>
      <c r="F21" s="55">
        <f t="shared" si="3"/>
        <v>1.5957793594337299E-2</v>
      </c>
      <c r="G21" s="158" t="str">
        <f>IF(D21&gt;B21,"↑ Rising",IF(D21&lt;B21,"↓ Falling","→ Stable"))</f>
        <v>↓ Falling</v>
      </c>
      <c r="H21" s="147" t="s">
        <v>569</v>
      </c>
    </row>
    <row r="22" spans="1:8" ht="15.75" customHeight="1" x14ac:dyDescent="0.35">
      <c r="A22" s="24" t="s">
        <v>570</v>
      </c>
      <c r="B22" s="41">
        <f>BS!B47/BS!B22</f>
        <v>0.25296039199673337</v>
      </c>
      <c r="C22" s="41">
        <f>BS!C47/BS!C22</f>
        <v>0.26783430089540489</v>
      </c>
      <c r="D22" s="41">
        <f>BS!D47/BS!D22</f>
        <v>0.32279502515902403</v>
      </c>
      <c r="E22" s="55">
        <f t="shared" si="3"/>
        <v>1.4873908898671517E-2</v>
      </c>
      <c r="F22" s="55">
        <f t="shared" si="3"/>
        <v>5.4960724263619143E-2</v>
      </c>
      <c r="G22" s="158" t="str">
        <f>IF(D22&gt;B22,"↑ Rising",IF(D22&lt;B22,"↓ Falling","→ Stable"))</f>
        <v>↑ Rising</v>
      </c>
      <c r="H22" s="147" t="s">
        <v>571</v>
      </c>
    </row>
    <row r="24" spans="1:8" ht="21.75" customHeight="1" x14ac:dyDescent="0.35">
      <c r="A24" s="161" t="s">
        <v>854</v>
      </c>
      <c r="B24" s="125"/>
      <c r="C24" s="125"/>
      <c r="D24" s="125"/>
      <c r="E24" s="125"/>
      <c r="F24" s="125"/>
      <c r="G24" s="125"/>
      <c r="H24" s="125"/>
    </row>
  </sheetData>
  <mergeCells count="5">
    <mergeCell ref="A1:H1"/>
    <mergeCell ref="A2:H2"/>
    <mergeCell ref="A4:H4"/>
    <mergeCell ref="A16:H16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"/>
  <sheetViews>
    <sheetView showGridLines="0" zoomScaleNormal="100" workbookViewId="0">
      <selection activeCell="B36" sqref="B36"/>
    </sheetView>
  </sheetViews>
  <sheetFormatPr defaultColWidth="8.6328125" defaultRowHeight="14.5" x14ac:dyDescent="0.35"/>
  <cols>
    <col min="1" max="1" width="32" customWidth="1"/>
    <col min="2" max="6" width="18" customWidth="1"/>
    <col min="7" max="7" width="46.08984375" customWidth="1"/>
  </cols>
  <sheetData>
    <row r="1" spans="1:7" ht="30" customHeight="1" x14ac:dyDescent="0.35">
      <c r="A1" s="136" t="s">
        <v>867</v>
      </c>
      <c r="B1" s="112"/>
      <c r="C1" s="112"/>
      <c r="D1" s="112"/>
      <c r="E1" s="112"/>
      <c r="F1" s="112"/>
      <c r="G1" s="112"/>
    </row>
    <row r="2" spans="1:7" ht="18" customHeight="1" x14ac:dyDescent="0.35">
      <c r="A2" s="113" t="s">
        <v>572</v>
      </c>
      <c r="B2" s="113"/>
      <c r="C2" s="113"/>
      <c r="D2" s="113"/>
      <c r="E2" s="113"/>
      <c r="F2" s="113"/>
      <c r="G2" s="113"/>
    </row>
    <row r="3" spans="1:7" ht="24" customHeight="1" x14ac:dyDescent="0.35">
      <c r="A3" s="143" t="s">
        <v>573</v>
      </c>
      <c r="B3" s="116"/>
      <c r="C3" s="116"/>
      <c r="D3" s="116"/>
      <c r="E3" s="116"/>
      <c r="F3" s="116"/>
    </row>
    <row r="4" spans="1:7" ht="39.75" customHeight="1" x14ac:dyDescent="0.35">
      <c r="A4" s="56" t="s">
        <v>102</v>
      </c>
      <c r="B4" s="57" t="s">
        <v>574</v>
      </c>
      <c r="C4" s="56" t="s">
        <v>575</v>
      </c>
      <c r="D4" s="56" t="s">
        <v>576</v>
      </c>
      <c r="E4" s="56" t="s">
        <v>577</v>
      </c>
      <c r="F4" s="56" t="s">
        <v>578</v>
      </c>
      <c r="G4" s="56" t="s">
        <v>579</v>
      </c>
    </row>
    <row r="5" spans="1:7" ht="19.5" customHeight="1" x14ac:dyDescent="0.35">
      <c r="A5" s="157" t="s">
        <v>866</v>
      </c>
      <c r="B5" s="124"/>
      <c r="C5" s="124"/>
      <c r="D5" s="124"/>
      <c r="E5" s="124"/>
      <c r="F5" s="124"/>
      <c r="G5" s="124"/>
    </row>
    <row r="6" spans="1:7" ht="16.5" customHeight="1" x14ac:dyDescent="0.35">
      <c r="A6" s="19" t="s">
        <v>580</v>
      </c>
      <c r="B6" s="58">
        <v>17.2</v>
      </c>
      <c r="C6" s="59">
        <v>22.1</v>
      </c>
      <c r="D6" s="59">
        <v>23.2</v>
      </c>
      <c r="E6" s="59">
        <v>55.8</v>
      </c>
      <c r="F6" s="60">
        <v>29.6</v>
      </c>
      <c r="G6" s="38" t="s">
        <v>581</v>
      </c>
    </row>
    <row r="7" spans="1:7" ht="16.5" customHeight="1" x14ac:dyDescent="0.35">
      <c r="A7" s="19" t="s">
        <v>119</v>
      </c>
      <c r="B7" s="58">
        <v>31.6</v>
      </c>
      <c r="C7" s="59">
        <v>28.5</v>
      </c>
      <c r="D7" s="59">
        <v>37.200000000000003</v>
      </c>
      <c r="E7" s="59">
        <v>95</v>
      </c>
      <c r="F7" s="60">
        <v>48.1</v>
      </c>
      <c r="G7" s="37" t="s">
        <v>582</v>
      </c>
    </row>
    <row r="8" spans="1:7" ht="16.5" customHeight="1" x14ac:dyDescent="0.35">
      <c r="A8" s="19" t="s">
        <v>583</v>
      </c>
      <c r="B8" s="58">
        <v>19.7</v>
      </c>
      <c r="C8" s="59">
        <v>34.200000000000003</v>
      </c>
      <c r="D8" s="59">
        <v>29.4</v>
      </c>
      <c r="E8" s="59">
        <v>120.5</v>
      </c>
      <c r="F8" s="60">
        <v>50.9</v>
      </c>
      <c r="G8" s="61" t="s">
        <v>584</v>
      </c>
    </row>
    <row r="9" spans="1:7" ht="19.5" customHeight="1" x14ac:dyDescent="0.35">
      <c r="A9" s="157" t="s">
        <v>868</v>
      </c>
      <c r="B9" s="124"/>
      <c r="C9" s="124"/>
      <c r="D9" s="124"/>
      <c r="E9" s="124"/>
      <c r="F9" s="124"/>
      <c r="G9" s="124"/>
    </row>
    <row r="10" spans="1:7" ht="16.5" customHeight="1" x14ac:dyDescent="0.35">
      <c r="A10" s="62" t="s">
        <v>73</v>
      </c>
      <c r="B10" s="41">
        <v>0.43099999999999999</v>
      </c>
      <c r="C10" s="22">
        <v>0.38</v>
      </c>
      <c r="D10" s="22">
        <v>0.45200000000000001</v>
      </c>
      <c r="E10" s="22">
        <v>0.378</v>
      </c>
      <c r="F10" s="63">
        <v>0.41</v>
      </c>
      <c r="G10" s="37" t="s">
        <v>585</v>
      </c>
    </row>
    <row r="11" spans="1:7" ht="16.5" customHeight="1" x14ac:dyDescent="0.35">
      <c r="A11" s="19" t="s">
        <v>79</v>
      </c>
      <c r="B11" s="41">
        <v>0.156</v>
      </c>
      <c r="C11" s="22">
        <v>0.13300000000000001</v>
      </c>
      <c r="D11" s="22">
        <v>0.16500000000000001</v>
      </c>
      <c r="E11" s="22">
        <v>0.128</v>
      </c>
      <c r="F11" s="63">
        <v>0.14599999999999999</v>
      </c>
      <c r="G11" s="37" t="s">
        <v>585</v>
      </c>
    </row>
    <row r="12" spans="1:7" ht="16.5" customHeight="1" x14ac:dyDescent="0.35">
      <c r="A12" s="62" t="s">
        <v>586</v>
      </c>
      <c r="B12" s="41">
        <v>0.182</v>
      </c>
      <c r="C12" s="22">
        <v>0.127</v>
      </c>
      <c r="D12" s="22">
        <v>0.19500000000000001</v>
      </c>
      <c r="E12" s="22">
        <v>0.157</v>
      </c>
      <c r="F12" s="63">
        <v>0.16500000000000001</v>
      </c>
      <c r="G12" s="37" t="s">
        <v>587</v>
      </c>
    </row>
    <row r="13" spans="1:7" ht="16.5" customHeight="1" x14ac:dyDescent="0.35">
      <c r="A13" s="19" t="s">
        <v>588</v>
      </c>
      <c r="B13" s="41">
        <v>8.5000000000000006E-2</v>
      </c>
      <c r="C13" s="22">
        <v>7.4999999999999997E-2</v>
      </c>
      <c r="D13" s="22">
        <v>9.6000000000000002E-2</v>
      </c>
      <c r="E13" s="22">
        <v>5.1999999999999998E-2</v>
      </c>
      <c r="F13" s="63">
        <v>7.6999999999999999E-2</v>
      </c>
      <c r="G13" s="37" t="s">
        <v>589</v>
      </c>
    </row>
    <row r="14" spans="1:7" ht="19.5" customHeight="1" x14ac:dyDescent="0.35">
      <c r="A14" s="157" t="s">
        <v>869</v>
      </c>
      <c r="B14" s="124"/>
      <c r="C14" s="124"/>
      <c r="D14" s="124"/>
      <c r="E14" s="124"/>
      <c r="F14" s="124"/>
      <c r="G14" s="124"/>
    </row>
    <row r="15" spans="1:7" ht="16.5" customHeight="1" x14ac:dyDescent="0.35">
      <c r="A15" s="19" t="s">
        <v>87</v>
      </c>
      <c r="B15" s="35">
        <v>0.98</v>
      </c>
      <c r="C15" s="34">
        <v>1.85</v>
      </c>
      <c r="D15" s="34">
        <v>2.1</v>
      </c>
      <c r="E15" s="34">
        <v>1.3</v>
      </c>
      <c r="F15" s="64">
        <v>1.56</v>
      </c>
      <c r="G15" s="61" t="s">
        <v>590</v>
      </c>
    </row>
    <row r="16" spans="1:7" ht="16.5" customHeight="1" x14ac:dyDescent="0.35">
      <c r="A16" s="19" t="s">
        <v>76</v>
      </c>
      <c r="B16" s="35">
        <v>0.94</v>
      </c>
      <c r="C16" s="34">
        <v>0.25</v>
      </c>
      <c r="D16" s="34">
        <v>0.12</v>
      </c>
      <c r="E16" s="34">
        <v>0.48</v>
      </c>
      <c r="F16" s="64">
        <v>0.45</v>
      </c>
      <c r="G16" s="65" t="s">
        <v>591</v>
      </c>
    </row>
    <row r="17" spans="1:7" ht="16.5" customHeight="1" x14ac:dyDescent="0.35">
      <c r="A17" s="19" t="s">
        <v>592</v>
      </c>
      <c r="B17" s="45">
        <v>7.61</v>
      </c>
      <c r="C17" s="44">
        <v>28</v>
      </c>
      <c r="D17" s="44">
        <v>45.2</v>
      </c>
      <c r="E17" s="44">
        <v>14.8</v>
      </c>
      <c r="F17" s="66">
        <v>23.9</v>
      </c>
      <c r="G17" s="61" t="s">
        <v>593</v>
      </c>
    </row>
    <row r="18" spans="1:7" ht="16.5" customHeight="1" x14ac:dyDescent="0.35">
      <c r="A18" s="62" t="s">
        <v>594</v>
      </c>
      <c r="B18" s="41">
        <v>0.49099999999999999</v>
      </c>
      <c r="C18" s="22">
        <v>0.68100000000000005</v>
      </c>
      <c r="D18" s="22">
        <v>0.748</v>
      </c>
      <c r="E18" s="22">
        <v>0.502</v>
      </c>
      <c r="F18" s="63">
        <v>0.60599999999999998</v>
      </c>
      <c r="G18" s="61" t="s">
        <v>595</v>
      </c>
    </row>
    <row r="19" spans="1:7" ht="19.5" customHeight="1" x14ac:dyDescent="0.35">
      <c r="A19" s="157" t="s">
        <v>870</v>
      </c>
      <c r="B19" s="124"/>
      <c r="C19" s="124"/>
      <c r="D19" s="124"/>
      <c r="E19" s="124"/>
      <c r="F19" s="124"/>
      <c r="G19" s="124"/>
    </row>
    <row r="20" spans="1:7" ht="16.5" customHeight="1" x14ac:dyDescent="0.35">
      <c r="A20" s="62" t="s">
        <v>596</v>
      </c>
      <c r="B20" s="41">
        <v>0.182</v>
      </c>
      <c r="C20" s="22">
        <v>0.19500000000000001</v>
      </c>
      <c r="D20" s="22">
        <v>0.248</v>
      </c>
      <c r="E20" s="22">
        <v>0.14299999999999999</v>
      </c>
      <c r="F20" s="63">
        <v>0.192</v>
      </c>
      <c r="G20" s="37" t="s">
        <v>585</v>
      </c>
    </row>
    <row r="21" spans="1:7" ht="16.5" customHeight="1" x14ac:dyDescent="0.35">
      <c r="A21" s="19" t="s">
        <v>98</v>
      </c>
      <c r="B21" s="35">
        <v>2.5</v>
      </c>
      <c r="C21" s="34">
        <v>1.95</v>
      </c>
      <c r="D21" s="34">
        <v>2.2000000000000002</v>
      </c>
      <c r="E21" s="34">
        <v>2.1</v>
      </c>
      <c r="F21" s="64">
        <v>2.19</v>
      </c>
      <c r="G21" s="38" t="s">
        <v>597</v>
      </c>
    </row>
    <row r="22" spans="1:7" ht="16.5" customHeight="1" x14ac:dyDescent="0.35">
      <c r="A22" s="19" t="s">
        <v>598</v>
      </c>
      <c r="B22" s="41">
        <v>0.20899999999999999</v>
      </c>
      <c r="C22" s="22">
        <v>0.16700000000000001</v>
      </c>
      <c r="D22" s="22">
        <v>0.182</v>
      </c>
      <c r="E22" s="22">
        <v>0.17199999999999999</v>
      </c>
      <c r="F22" s="63">
        <v>0.183</v>
      </c>
      <c r="G22" s="61" t="s">
        <v>599</v>
      </c>
    </row>
    <row r="23" spans="1:7" ht="19.5" customHeight="1" x14ac:dyDescent="0.35">
      <c r="A23" s="157" t="s">
        <v>871</v>
      </c>
      <c r="B23" s="124"/>
      <c r="C23" s="124"/>
      <c r="D23" s="124"/>
      <c r="E23" s="124"/>
      <c r="F23" s="124"/>
      <c r="G23" s="124"/>
    </row>
    <row r="24" spans="1:7" ht="16.5" customHeight="1" x14ac:dyDescent="0.35">
      <c r="A24" s="19" t="s">
        <v>600</v>
      </c>
      <c r="B24" s="45">
        <v>3.7</v>
      </c>
      <c r="C24" s="44">
        <v>7.2</v>
      </c>
      <c r="D24" s="44">
        <v>6.8</v>
      </c>
      <c r="E24" s="44">
        <v>6.1</v>
      </c>
      <c r="F24" s="66">
        <v>5.95</v>
      </c>
      <c r="G24" s="38" t="s">
        <v>601</v>
      </c>
    </row>
    <row r="25" spans="1:7" ht="16.5" customHeight="1" x14ac:dyDescent="0.35">
      <c r="A25" s="19" t="s">
        <v>602</v>
      </c>
      <c r="B25" s="45">
        <v>7.5</v>
      </c>
      <c r="C25" s="44">
        <v>18.2</v>
      </c>
      <c r="D25" s="44">
        <v>15.4</v>
      </c>
      <c r="E25" s="44">
        <v>21.3</v>
      </c>
      <c r="F25" s="66">
        <v>15.6</v>
      </c>
      <c r="G25" s="38" t="s">
        <v>603</v>
      </c>
    </row>
    <row r="26" spans="1:7" ht="16.5" customHeight="1" x14ac:dyDescent="0.35">
      <c r="A26" s="19" t="s">
        <v>604</v>
      </c>
      <c r="B26" s="41">
        <v>3.1E-2</v>
      </c>
      <c r="C26" s="22">
        <v>4.2000000000000003E-2</v>
      </c>
      <c r="D26" s="22">
        <v>3.4000000000000002E-2</v>
      </c>
      <c r="E26" s="22">
        <v>3.2000000000000001E-2</v>
      </c>
      <c r="F26" s="63">
        <v>3.5000000000000003E-2</v>
      </c>
      <c r="G26" s="61" t="s">
        <v>605</v>
      </c>
    </row>
    <row r="28" spans="1:7" ht="39.75" customHeight="1" x14ac:dyDescent="0.35">
      <c r="A28" s="162" t="s">
        <v>872</v>
      </c>
      <c r="B28" s="126"/>
      <c r="C28" s="126"/>
      <c r="D28" s="126"/>
      <c r="E28" s="126"/>
      <c r="F28" s="126"/>
      <c r="G28" s="126"/>
    </row>
    <row r="30" spans="1:7" ht="21.75" customHeight="1" x14ac:dyDescent="0.35">
      <c r="A30" s="161" t="s">
        <v>854</v>
      </c>
      <c r="B30" s="125"/>
      <c r="C30" s="125"/>
      <c r="D30" s="125"/>
      <c r="E30" s="125"/>
      <c r="F30" s="125"/>
      <c r="G30" s="125"/>
    </row>
  </sheetData>
  <mergeCells count="10">
    <mergeCell ref="A1:G1"/>
    <mergeCell ref="A2:G2"/>
    <mergeCell ref="A3:F3"/>
    <mergeCell ref="A5:G5"/>
    <mergeCell ref="A9:G9"/>
    <mergeCell ref="A14:G14"/>
    <mergeCell ref="A19:G19"/>
    <mergeCell ref="A23:G23"/>
    <mergeCell ref="A28:G28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8"/>
  <sheetViews>
    <sheetView showGridLines="0" topLeftCell="A40" zoomScaleNormal="100" workbookViewId="0">
      <selection activeCell="A57" sqref="A57"/>
    </sheetView>
  </sheetViews>
  <sheetFormatPr defaultColWidth="8.6328125" defaultRowHeight="14.5" x14ac:dyDescent="0.35"/>
  <cols>
    <col min="1" max="1" width="40" customWidth="1"/>
    <col min="2" max="2" width="32.6328125" customWidth="1"/>
    <col min="3" max="3" width="20" customWidth="1"/>
    <col min="4" max="4" width="72.90625" customWidth="1"/>
  </cols>
  <sheetData>
    <row r="1" spans="1:4" ht="27.75" customHeight="1" x14ac:dyDescent="0.35">
      <c r="A1" s="127" t="s">
        <v>606</v>
      </c>
      <c r="B1" s="127"/>
      <c r="C1" s="127"/>
      <c r="D1" s="127"/>
    </row>
    <row r="2" spans="1:4" ht="19.5" customHeight="1" x14ac:dyDescent="0.35">
      <c r="A2" s="124" t="s">
        <v>607</v>
      </c>
      <c r="B2" s="124"/>
      <c r="C2" s="124"/>
      <c r="D2" s="124"/>
    </row>
    <row r="3" spans="1:4" ht="16.5" customHeight="1" x14ac:dyDescent="0.35">
      <c r="A3" s="67" t="s">
        <v>608</v>
      </c>
      <c r="B3" s="68" t="s">
        <v>2</v>
      </c>
      <c r="C3" s="163" t="s">
        <v>609</v>
      </c>
      <c r="D3" s="163"/>
    </row>
    <row r="4" spans="1:4" ht="16.5" customHeight="1" x14ac:dyDescent="0.35">
      <c r="A4" s="67" t="s">
        <v>11</v>
      </c>
      <c r="B4" s="68" t="s">
        <v>610</v>
      </c>
      <c r="C4" s="163" t="s">
        <v>611</v>
      </c>
      <c r="D4" s="163"/>
    </row>
    <row r="5" spans="1:4" ht="16.5" customHeight="1" x14ac:dyDescent="0.35">
      <c r="A5" s="67" t="s">
        <v>612</v>
      </c>
      <c r="B5" s="68" t="s">
        <v>613</v>
      </c>
      <c r="C5" s="163" t="s">
        <v>614</v>
      </c>
      <c r="D5" s="163"/>
    </row>
    <row r="6" spans="1:4" ht="16.5" customHeight="1" x14ac:dyDescent="0.35">
      <c r="A6" s="67" t="s">
        <v>16</v>
      </c>
      <c r="B6" s="68" t="s">
        <v>615</v>
      </c>
      <c r="C6" s="163" t="s">
        <v>616</v>
      </c>
      <c r="D6" s="163"/>
    </row>
    <row r="7" spans="1:4" ht="16.5" customHeight="1" x14ac:dyDescent="0.35">
      <c r="A7" s="67" t="s">
        <v>617</v>
      </c>
      <c r="B7" s="68" t="s">
        <v>618</v>
      </c>
      <c r="C7" s="163" t="s">
        <v>619</v>
      </c>
      <c r="D7" s="163"/>
    </row>
    <row r="9" spans="1:4" ht="19.5" customHeight="1" x14ac:dyDescent="0.35">
      <c r="A9" s="124" t="s">
        <v>620</v>
      </c>
      <c r="B9" s="124"/>
      <c r="C9" s="124"/>
      <c r="D9" s="124"/>
    </row>
    <row r="10" spans="1:4" ht="16.5" customHeight="1" x14ac:dyDescent="0.35">
      <c r="A10" s="67" t="s">
        <v>621</v>
      </c>
      <c r="B10" s="68" t="s">
        <v>622</v>
      </c>
      <c r="C10" s="163" t="s">
        <v>623</v>
      </c>
      <c r="D10" s="163"/>
    </row>
    <row r="11" spans="1:4" ht="16.5" customHeight="1" x14ac:dyDescent="0.35">
      <c r="A11" s="67" t="s">
        <v>624</v>
      </c>
      <c r="B11" s="68" t="s">
        <v>625</v>
      </c>
      <c r="C11" s="163" t="s">
        <v>626</v>
      </c>
      <c r="D11" s="163"/>
    </row>
    <row r="12" spans="1:4" ht="16.5" customHeight="1" x14ac:dyDescent="0.35">
      <c r="A12" s="67" t="s">
        <v>627</v>
      </c>
      <c r="B12" s="68" t="s">
        <v>628</v>
      </c>
      <c r="C12" s="163" t="s">
        <v>629</v>
      </c>
      <c r="D12" s="163"/>
    </row>
    <row r="13" spans="1:4" ht="16.5" customHeight="1" x14ac:dyDescent="0.35">
      <c r="A13" s="67" t="s">
        <v>630</v>
      </c>
      <c r="B13" s="68" t="s">
        <v>631</v>
      </c>
      <c r="C13" s="163" t="s">
        <v>632</v>
      </c>
      <c r="D13" s="163"/>
    </row>
    <row r="14" spans="1:4" ht="16.5" customHeight="1" x14ac:dyDescent="0.35">
      <c r="A14" s="67" t="s">
        <v>633</v>
      </c>
      <c r="B14" s="68" t="s">
        <v>634</v>
      </c>
      <c r="C14" s="163" t="s">
        <v>873</v>
      </c>
      <c r="D14" s="163"/>
    </row>
    <row r="16" spans="1:4" ht="19.5" customHeight="1" x14ac:dyDescent="0.35">
      <c r="A16" s="124" t="s">
        <v>635</v>
      </c>
      <c r="B16" s="124"/>
      <c r="C16" s="124"/>
      <c r="D16" s="124"/>
    </row>
    <row r="17" spans="1:4" ht="16.5" customHeight="1" x14ac:dyDescent="0.35">
      <c r="A17" s="67" t="s">
        <v>636</v>
      </c>
      <c r="B17" s="68" t="s">
        <v>637</v>
      </c>
      <c r="C17" s="163" t="s">
        <v>638</v>
      </c>
      <c r="D17" s="163"/>
    </row>
    <row r="18" spans="1:4" ht="16.5" customHeight="1" x14ac:dyDescent="0.35">
      <c r="A18" s="67" t="s">
        <v>639</v>
      </c>
      <c r="B18" s="68" t="s">
        <v>640</v>
      </c>
      <c r="C18" s="163" t="s">
        <v>641</v>
      </c>
      <c r="D18" s="163"/>
    </row>
    <row r="19" spans="1:4" ht="16.5" customHeight="1" x14ac:dyDescent="0.35">
      <c r="A19" s="67" t="s">
        <v>642</v>
      </c>
      <c r="B19" s="68" t="s">
        <v>643</v>
      </c>
      <c r="C19" s="163" t="s">
        <v>644</v>
      </c>
      <c r="D19" s="163"/>
    </row>
    <row r="20" spans="1:4" ht="16.5" customHeight="1" x14ac:dyDescent="0.35">
      <c r="A20" s="67" t="s">
        <v>645</v>
      </c>
      <c r="B20" s="68" t="s">
        <v>646</v>
      </c>
      <c r="C20" s="163" t="s">
        <v>647</v>
      </c>
      <c r="D20" s="163"/>
    </row>
    <row r="21" spans="1:4" ht="16.5" customHeight="1" x14ac:dyDescent="0.35">
      <c r="A21" s="67" t="s">
        <v>648</v>
      </c>
      <c r="B21" s="68" t="s">
        <v>649</v>
      </c>
      <c r="C21" s="163" t="s">
        <v>650</v>
      </c>
      <c r="D21" s="163"/>
    </row>
    <row r="23" spans="1:4" ht="19.5" customHeight="1" x14ac:dyDescent="0.35">
      <c r="A23" s="124" t="s">
        <v>651</v>
      </c>
      <c r="B23" s="124"/>
      <c r="C23" s="124"/>
      <c r="D23" s="124"/>
    </row>
    <row r="24" spans="1:4" ht="16.5" customHeight="1" x14ac:dyDescent="0.35">
      <c r="A24" s="67" t="s">
        <v>652</v>
      </c>
      <c r="B24" s="68" t="s">
        <v>653</v>
      </c>
      <c r="C24" s="163" t="s">
        <v>654</v>
      </c>
      <c r="D24" s="163"/>
    </row>
    <row r="25" spans="1:4" ht="16.5" customHeight="1" x14ac:dyDescent="0.35">
      <c r="A25" s="67" t="s">
        <v>655</v>
      </c>
      <c r="B25" s="68" t="s">
        <v>656</v>
      </c>
      <c r="C25" s="163" t="s">
        <v>657</v>
      </c>
      <c r="D25" s="163"/>
    </row>
    <row r="26" spans="1:4" ht="16.5" customHeight="1" x14ac:dyDescent="0.35">
      <c r="A26" s="67" t="s">
        <v>658</v>
      </c>
      <c r="B26" s="68" t="s">
        <v>659</v>
      </c>
      <c r="C26" s="163" t="s">
        <v>660</v>
      </c>
      <c r="D26" s="163"/>
    </row>
    <row r="27" spans="1:4" ht="16.5" customHeight="1" x14ac:dyDescent="0.35">
      <c r="A27" s="67" t="s">
        <v>22</v>
      </c>
      <c r="B27" s="68" t="s">
        <v>661</v>
      </c>
      <c r="C27" s="163" t="s">
        <v>662</v>
      </c>
      <c r="D27" s="163"/>
    </row>
    <row r="28" spans="1:4" ht="16.5" customHeight="1" x14ac:dyDescent="0.35">
      <c r="A28" s="67" t="s">
        <v>663</v>
      </c>
      <c r="B28" s="68" t="s">
        <v>664</v>
      </c>
      <c r="C28" s="163" t="s">
        <v>665</v>
      </c>
      <c r="D28" s="163"/>
    </row>
    <row r="29" spans="1:4" ht="16.5" customHeight="1" x14ac:dyDescent="0.35">
      <c r="A29" s="67" t="s">
        <v>666</v>
      </c>
      <c r="B29" s="68" t="s">
        <v>667</v>
      </c>
      <c r="C29" s="163" t="s">
        <v>668</v>
      </c>
      <c r="D29" s="163"/>
    </row>
    <row r="30" spans="1:4" ht="16.5" customHeight="1" x14ac:dyDescent="0.35">
      <c r="A30" s="67" t="s">
        <v>669</v>
      </c>
      <c r="B30" s="68" t="s">
        <v>670</v>
      </c>
      <c r="C30" s="163" t="s">
        <v>671</v>
      </c>
      <c r="D30" s="163"/>
    </row>
    <row r="32" spans="1:4" ht="19.5" customHeight="1" x14ac:dyDescent="0.35">
      <c r="A32" s="124" t="s">
        <v>672</v>
      </c>
      <c r="B32" s="124"/>
      <c r="C32" s="124"/>
      <c r="D32" s="124"/>
    </row>
    <row r="33" spans="1:4" ht="16.5" customHeight="1" x14ac:dyDescent="0.35">
      <c r="A33" s="67" t="s">
        <v>673</v>
      </c>
      <c r="B33" s="68" t="s">
        <v>674</v>
      </c>
      <c r="C33" s="163" t="s">
        <v>675</v>
      </c>
      <c r="D33" s="163"/>
    </row>
    <row r="34" spans="1:4" ht="16.5" customHeight="1" x14ac:dyDescent="0.35">
      <c r="A34" s="67" t="s">
        <v>676</v>
      </c>
      <c r="B34" s="68" t="s">
        <v>677</v>
      </c>
      <c r="C34" s="163" t="s">
        <v>678</v>
      </c>
      <c r="D34" s="163"/>
    </row>
    <row r="35" spans="1:4" ht="16.5" customHeight="1" x14ac:dyDescent="0.35">
      <c r="A35" s="67" t="s">
        <v>679</v>
      </c>
      <c r="B35" s="68" t="s">
        <v>680</v>
      </c>
      <c r="C35" s="163" t="s">
        <v>681</v>
      </c>
      <c r="D35" s="163"/>
    </row>
    <row r="36" spans="1:4" ht="16.5" customHeight="1" x14ac:dyDescent="0.35">
      <c r="A36" s="67" t="s">
        <v>682</v>
      </c>
      <c r="B36" s="68" t="s">
        <v>683</v>
      </c>
      <c r="C36" s="163" t="s">
        <v>684</v>
      </c>
      <c r="D36" s="163"/>
    </row>
    <row r="37" spans="1:4" ht="16.5" customHeight="1" x14ac:dyDescent="0.35">
      <c r="A37" s="67" t="s">
        <v>685</v>
      </c>
      <c r="B37" s="68" t="s">
        <v>686</v>
      </c>
      <c r="C37" s="163" t="s">
        <v>687</v>
      </c>
      <c r="D37" s="163"/>
    </row>
    <row r="39" spans="1:4" ht="19.5" customHeight="1" x14ac:dyDescent="0.35">
      <c r="A39" s="124" t="s">
        <v>688</v>
      </c>
      <c r="B39" s="124"/>
      <c r="C39" s="124"/>
      <c r="D39" s="124"/>
    </row>
    <row r="40" spans="1:4" ht="16.5" customHeight="1" x14ac:dyDescent="0.35">
      <c r="A40" s="67" t="s">
        <v>689</v>
      </c>
      <c r="B40" s="68" t="s">
        <v>397</v>
      </c>
      <c r="C40" s="163" t="s">
        <v>690</v>
      </c>
      <c r="D40" s="163"/>
    </row>
    <row r="41" spans="1:4" ht="16.5" customHeight="1" x14ac:dyDescent="0.35">
      <c r="A41" s="67" t="s">
        <v>691</v>
      </c>
      <c r="B41" s="68" t="s">
        <v>450</v>
      </c>
      <c r="C41" s="163" t="s">
        <v>692</v>
      </c>
      <c r="D41" s="163"/>
    </row>
    <row r="42" spans="1:4" ht="16.5" customHeight="1" x14ac:dyDescent="0.35">
      <c r="A42" s="67" t="s">
        <v>693</v>
      </c>
      <c r="B42" s="68" t="s">
        <v>437</v>
      </c>
      <c r="C42" s="163" t="s">
        <v>694</v>
      </c>
      <c r="D42" s="163"/>
    </row>
    <row r="43" spans="1:4" ht="16.5" customHeight="1" x14ac:dyDescent="0.35">
      <c r="A43" s="67" t="s">
        <v>695</v>
      </c>
      <c r="B43" s="68" t="s">
        <v>437</v>
      </c>
      <c r="C43" s="163" t="s">
        <v>696</v>
      </c>
      <c r="D43" s="163"/>
    </row>
    <row r="44" spans="1:4" ht="16.5" customHeight="1" x14ac:dyDescent="0.35">
      <c r="A44" s="67" t="s">
        <v>697</v>
      </c>
      <c r="B44" s="68" t="s">
        <v>430</v>
      </c>
      <c r="C44" s="163" t="s">
        <v>698</v>
      </c>
      <c r="D44" s="163"/>
    </row>
    <row r="45" spans="1:4" ht="16.5" customHeight="1" x14ac:dyDescent="0.35">
      <c r="A45" s="67" t="s">
        <v>699</v>
      </c>
      <c r="B45" s="68" t="s">
        <v>473</v>
      </c>
      <c r="C45" s="163" t="s">
        <v>700</v>
      </c>
      <c r="D45" s="163"/>
    </row>
    <row r="48" spans="1:4" ht="21.75" customHeight="1" x14ac:dyDescent="0.35">
      <c r="A48" s="161" t="s">
        <v>854</v>
      </c>
      <c r="B48" s="125"/>
      <c r="C48" s="125"/>
      <c r="D48" s="125"/>
    </row>
  </sheetData>
  <mergeCells count="41">
    <mergeCell ref="A1:D1"/>
    <mergeCell ref="A2:D2"/>
    <mergeCell ref="C3:D3"/>
    <mergeCell ref="C4:D4"/>
    <mergeCell ref="C5:D5"/>
    <mergeCell ref="C6:D6"/>
    <mergeCell ref="C7:D7"/>
    <mergeCell ref="A9:D9"/>
    <mergeCell ref="C10:D10"/>
    <mergeCell ref="C11:D11"/>
    <mergeCell ref="C12:D12"/>
    <mergeCell ref="C13:D13"/>
    <mergeCell ref="C14:D14"/>
    <mergeCell ref="A16:D16"/>
    <mergeCell ref="C17:D17"/>
    <mergeCell ref="C18:D18"/>
    <mergeCell ref="C19:D19"/>
    <mergeCell ref="C20:D20"/>
    <mergeCell ref="C21:D21"/>
    <mergeCell ref="A23:D23"/>
    <mergeCell ref="C24:D24"/>
    <mergeCell ref="C25:D25"/>
    <mergeCell ref="C26:D26"/>
    <mergeCell ref="C27:D27"/>
    <mergeCell ref="C28:D28"/>
    <mergeCell ref="C29:D29"/>
    <mergeCell ref="C30:D30"/>
    <mergeCell ref="A32:D32"/>
    <mergeCell ref="C33:D33"/>
    <mergeCell ref="C34:D34"/>
    <mergeCell ref="C35:D35"/>
    <mergeCell ref="C36:D36"/>
    <mergeCell ref="C37:D37"/>
    <mergeCell ref="A39:D39"/>
    <mergeCell ref="C40:D40"/>
    <mergeCell ref="C41:D41"/>
    <mergeCell ref="C42:D42"/>
    <mergeCell ref="C43:D43"/>
    <mergeCell ref="C44:D44"/>
    <mergeCell ref="C45:D45"/>
    <mergeCell ref="A48:D4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6"/>
  <sheetViews>
    <sheetView showGridLines="0" zoomScaleNormal="100" workbookViewId="0">
      <selection activeCell="B49" sqref="B49"/>
    </sheetView>
  </sheetViews>
  <sheetFormatPr defaultColWidth="8.6328125" defaultRowHeight="14.5" x14ac:dyDescent="0.35"/>
  <cols>
    <col min="1" max="1" width="28" customWidth="1"/>
    <col min="2" max="2" width="41" customWidth="1"/>
    <col min="3" max="3" width="46.453125" customWidth="1"/>
    <col min="4" max="4" width="65" customWidth="1"/>
  </cols>
  <sheetData>
    <row r="1" spans="1:4" ht="27.75" customHeight="1" x14ac:dyDescent="0.35">
      <c r="A1" s="164" t="s">
        <v>874</v>
      </c>
      <c r="B1" s="127"/>
      <c r="C1" s="127"/>
      <c r="D1" s="127"/>
    </row>
    <row r="2" spans="1:4" ht="30" customHeight="1" x14ac:dyDescent="0.35">
      <c r="A2" s="18" t="s">
        <v>102</v>
      </c>
      <c r="B2" s="18" t="s">
        <v>701</v>
      </c>
      <c r="C2" s="18" t="s">
        <v>702</v>
      </c>
      <c r="D2" s="18" t="s">
        <v>703</v>
      </c>
    </row>
    <row r="3" spans="1:4" ht="21.75" customHeight="1" x14ac:dyDescent="0.35">
      <c r="A3" s="124" t="s">
        <v>704</v>
      </c>
      <c r="B3" s="124"/>
      <c r="C3" s="124"/>
      <c r="D3" s="124"/>
    </row>
    <row r="4" spans="1:4" ht="36" customHeight="1" x14ac:dyDescent="0.35">
      <c r="A4" s="69" t="s">
        <v>121</v>
      </c>
      <c r="B4" s="70" t="s">
        <v>705</v>
      </c>
      <c r="C4" s="71" t="s">
        <v>706</v>
      </c>
      <c r="D4" s="72" t="s">
        <v>707</v>
      </c>
    </row>
    <row r="5" spans="1:4" ht="36" customHeight="1" x14ac:dyDescent="0.35">
      <c r="A5" s="69" t="s">
        <v>708</v>
      </c>
      <c r="B5" s="70" t="s">
        <v>709</v>
      </c>
      <c r="C5" s="71" t="s">
        <v>710</v>
      </c>
      <c r="D5" s="72" t="s">
        <v>711</v>
      </c>
    </row>
    <row r="6" spans="1:4" ht="36" customHeight="1" x14ac:dyDescent="0.35">
      <c r="A6" s="69" t="s">
        <v>712</v>
      </c>
      <c r="B6" s="70" t="s">
        <v>713</v>
      </c>
      <c r="C6" s="71" t="s">
        <v>714</v>
      </c>
      <c r="D6" s="72" t="s">
        <v>715</v>
      </c>
    </row>
    <row r="7" spans="1:4" ht="36" customHeight="1" x14ac:dyDescent="0.35">
      <c r="A7" s="69" t="s">
        <v>122</v>
      </c>
      <c r="B7" s="70" t="s">
        <v>716</v>
      </c>
      <c r="C7" s="71" t="s">
        <v>717</v>
      </c>
      <c r="D7" s="72" t="s">
        <v>718</v>
      </c>
    </row>
    <row r="8" spans="1:4" ht="36" customHeight="1" x14ac:dyDescent="0.35">
      <c r="A8" s="69" t="s">
        <v>719</v>
      </c>
      <c r="B8" s="70" t="s">
        <v>720</v>
      </c>
      <c r="C8" s="71" t="s">
        <v>721</v>
      </c>
      <c r="D8" s="72" t="s">
        <v>722</v>
      </c>
    </row>
    <row r="9" spans="1:4" ht="36" customHeight="1" x14ac:dyDescent="0.35">
      <c r="A9" s="69" t="s">
        <v>79</v>
      </c>
      <c r="B9" s="70" t="s">
        <v>723</v>
      </c>
      <c r="C9" s="71" t="s">
        <v>724</v>
      </c>
      <c r="D9" s="72" t="s">
        <v>725</v>
      </c>
    </row>
    <row r="10" spans="1:4" ht="36" customHeight="1" x14ac:dyDescent="0.35">
      <c r="A10" s="69" t="s">
        <v>726</v>
      </c>
      <c r="B10" s="70" t="s">
        <v>727</v>
      </c>
      <c r="C10" s="71" t="s">
        <v>728</v>
      </c>
      <c r="D10" s="72" t="s">
        <v>729</v>
      </c>
    </row>
    <row r="11" spans="1:4" ht="36" customHeight="1" x14ac:dyDescent="0.35">
      <c r="A11" s="69" t="s">
        <v>730</v>
      </c>
      <c r="B11" s="70" t="s">
        <v>731</v>
      </c>
      <c r="C11" s="71" t="s">
        <v>732</v>
      </c>
      <c r="D11" s="72" t="s">
        <v>733</v>
      </c>
    </row>
    <row r="12" spans="1:4" ht="36" customHeight="1" x14ac:dyDescent="0.35">
      <c r="A12" s="69" t="s">
        <v>734</v>
      </c>
      <c r="B12" s="70" t="s">
        <v>735</v>
      </c>
      <c r="C12" s="71" t="s">
        <v>736</v>
      </c>
      <c r="D12" s="72" t="s">
        <v>737</v>
      </c>
    </row>
    <row r="13" spans="1:4" ht="36" customHeight="1" x14ac:dyDescent="0.35">
      <c r="A13" s="69" t="s">
        <v>738</v>
      </c>
      <c r="B13" s="70" t="s">
        <v>739</v>
      </c>
      <c r="C13" s="71" t="s">
        <v>740</v>
      </c>
      <c r="D13" s="72" t="s">
        <v>741</v>
      </c>
    </row>
    <row r="14" spans="1:4" ht="21.75" customHeight="1" x14ac:dyDescent="0.35">
      <c r="A14" s="124" t="s">
        <v>742</v>
      </c>
      <c r="B14" s="124"/>
      <c r="C14" s="124"/>
      <c r="D14" s="124"/>
    </row>
    <row r="15" spans="1:4" ht="36" customHeight="1" x14ac:dyDescent="0.35">
      <c r="A15" s="69" t="s">
        <v>743</v>
      </c>
      <c r="B15" s="70" t="s">
        <v>744</v>
      </c>
      <c r="C15" s="71" t="s">
        <v>745</v>
      </c>
      <c r="D15" s="72" t="s">
        <v>746</v>
      </c>
    </row>
    <row r="16" spans="1:4" ht="36" customHeight="1" x14ac:dyDescent="0.35">
      <c r="A16" s="69" t="s">
        <v>747</v>
      </c>
      <c r="B16" s="70" t="s">
        <v>748</v>
      </c>
      <c r="C16" s="71" t="s">
        <v>749</v>
      </c>
      <c r="D16" s="72" t="s">
        <v>750</v>
      </c>
    </row>
    <row r="17" spans="1:4" ht="36" customHeight="1" x14ac:dyDescent="0.35">
      <c r="A17" s="69" t="s">
        <v>751</v>
      </c>
      <c r="B17" s="70" t="s">
        <v>752</v>
      </c>
      <c r="C17" s="71" t="s">
        <v>753</v>
      </c>
      <c r="D17" s="72" t="s">
        <v>754</v>
      </c>
    </row>
    <row r="18" spans="1:4" ht="36" customHeight="1" x14ac:dyDescent="0.35">
      <c r="A18" s="69" t="s">
        <v>755</v>
      </c>
      <c r="B18" s="70" t="s">
        <v>756</v>
      </c>
      <c r="C18" s="71" t="s">
        <v>757</v>
      </c>
      <c r="D18" s="72" t="s">
        <v>758</v>
      </c>
    </row>
    <row r="19" spans="1:4" ht="21.75" customHeight="1" x14ac:dyDescent="0.35">
      <c r="A19" s="124" t="s">
        <v>759</v>
      </c>
      <c r="B19" s="124"/>
      <c r="C19" s="124"/>
      <c r="D19" s="124"/>
    </row>
    <row r="20" spans="1:4" ht="36" customHeight="1" x14ac:dyDescent="0.35">
      <c r="A20" s="69" t="s">
        <v>87</v>
      </c>
      <c r="B20" s="70" t="s">
        <v>760</v>
      </c>
      <c r="C20" s="71" t="s">
        <v>761</v>
      </c>
      <c r="D20" s="72" t="s">
        <v>762</v>
      </c>
    </row>
    <row r="21" spans="1:4" ht="36" customHeight="1" x14ac:dyDescent="0.35">
      <c r="A21" s="69" t="s">
        <v>763</v>
      </c>
      <c r="B21" s="70" t="s">
        <v>764</v>
      </c>
      <c r="C21" s="71" t="s">
        <v>765</v>
      </c>
      <c r="D21" s="72" t="s">
        <v>766</v>
      </c>
    </row>
    <row r="22" spans="1:4" ht="36" customHeight="1" x14ac:dyDescent="0.35">
      <c r="A22" s="69" t="s">
        <v>404</v>
      </c>
      <c r="B22" s="70" t="s">
        <v>767</v>
      </c>
      <c r="C22" s="71" t="s">
        <v>768</v>
      </c>
      <c r="D22" s="72" t="s">
        <v>769</v>
      </c>
    </row>
    <row r="23" spans="1:4" ht="36" customHeight="1" x14ac:dyDescent="0.35">
      <c r="A23" s="69" t="s">
        <v>770</v>
      </c>
      <c r="B23" s="70" t="s">
        <v>771</v>
      </c>
      <c r="C23" s="71" t="s">
        <v>772</v>
      </c>
      <c r="D23" s="72" t="s">
        <v>773</v>
      </c>
    </row>
    <row r="24" spans="1:4" ht="21.75" customHeight="1" x14ac:dyDescent="0.35">
      <c r="A24" s="124" t="s">
        <v>774</v>
      </c>
      <c r="B24" s="124"/>
      <c r="C24" s="124"/>
      <c r="D24" s="124"/>
    </row>
    <row r="25" spans="1:4" ht="36" customHeight="1" x14ac:dyDescent="0.35">
      <c r="A25" s="69" t="s">
        <v>588</v>
      </c>
      <c r="B25" s="70" t="s">
        <v>775</v>
      </c>
      <c r="C25" s="71" t="s">
        <v>776</v>
      </c>
      <c r="D25" s="72" t="s">
        <v>777</v>
      </c>
    </row>
    <row r="26" spans="1:4" ht="36" customHeight="1" x14ac:dyDescent="0.35">
      <c r="A26" s="69" t="s">
        <v>586</v>
      </c>
      <c r="B26" s="70" t="s">
        <v>778</v>
      </c>
      <c r="C26" s="71" t="s">
        <v>779</v>
      </c>
      <c r="D26" s="72" t="s">
        <v>780</v>
      </c>
    </row>
    <row r="27" spans="1:4" ht="36" customHeight="1" x14ac:dyDescent="0.35">
      <c r="A27" s="69" t="s">
        <v>781</v>
      </c>
      <c r="B27" s="70" t="s">
        <v>782</v>
      </c>
      <c r="C27" s="71" t="s">
        <v>783</v>
      </c>
      <c r="D27" s="72" t="s">
        <v>784</v>
      </c>
    </row>
    <row r="28" spans="1:4" ht="36" customHeight="1" x14ac:dyDescent="0.35">
      <c r="A28" s="69" t="s">
        <v>785</v>
      </c>
      <c r="B28" s="70" t="s">
        <v>786</v>
      </c>
      <c r="C28" s="71" t="s">
        <v>787</v>
      </c>
      <c r="D28" s="72" t="s">
        <v>788</v>
      </c>
    </row>
    <row r="29" spans="1:4" ht="21.75" customHeight="1" x14ac:dyDescent="0.35">
      <c r="A29" s="124" t="s">
        <v>789</v>
      </c>
      <c r="B29" s="124"/>
      <c r="C29" s="124"/>
      <c r="D29" s="124"/>
    </row>
    <row r="30" spans="1:4" ht="36" customHeight="1" x14ac:dyDescent="0.35">
      <c r="A30" s="69" t="s">
        <v>790</v>
      </c>
      <c r="B30" s="70" t="s">
        <v>791</v>
      </c>
      <c r="C30" s="71" t="s">
        <v>792</v>
      </c>
      <c r="D30" s="72" t="s">
        <v>793</v>
      </c>
    </row>
    <row r="31" spans="1:4" ht="36" customHeight="1" x14ac:dyDescent="0.35">
      <c r="A31" s="69" t="s">
        <v>449</v>
      </c>
      <c r="B31" s="70" t="s">
        <v>794</v>
      </c>
      <c r="C31" s="71" t="s">
        <v>795</v>
      </c>
      <c r="D31" s="72" t="s">
        <v>796</v>
      </c>
    </row>
    <row r="32" spans="1:4" ht="36" customHeight="1" x14ac:dyDescent="0.35">
      <c r="A32" s="69" t="s">
        <v>797</v>
      </c>
      <c r="B32" s="70" t="s">
        <v>798</v>
      </c>
      <c r="C32" s="71" t="s">
        <v>799</v>
      </c>
      <c r="D32" s="72" t="s">
        <v>800</v>
      </c>
    </row>
    <row r="33" spans="1:4" ht="36" customHeight="1" x14ac:dyDescent="0.35">
      <c r="A33" s="69" t="s">
        <v>801</v>
      </c>
      <c r="B33" s="70" t="s">
        <v>802</v>
      </c>
      <c r="C33" s="71" t="s">
        <v>803</v>
      </c>
      <c r="D33" s="72" t="s">
        <v>804</v>
      </c>
    </row>
    <row r="34" spans="1:4" ht="21.75" customHeight="1" x14ac:dyDescent="0.35">
      <c r="A34" s="124" t="s">
        <v>805</v>
      </c>
      <c r="B34" s="124"/>
      <c r="C34" s="124"/>
      <c r="D34" s="124"/>
    </row>
    <row r="35" spans="1:4" ht="36" customHeight="1" x14ac:dyDescent="0.35">
      <c r="A35" s="69" t="s">
        <v>806</v>
      </c>
      <c r="B35" s="70" t="s">
        <v>807</v>
      </c>
      <c r="C35" s="71" t="s">
        <v>808</v>
      </c>
      <c r="D35" s="72" t="s">
        <v>809</v>
      </c>
    </row>
    <row r="36" spans="1:4" ht="36" customHeight="1" x14ac:dyDescent="0.35">
      <c r="A36" s="69" t="s">
        <v>810</v>
      </c>
      <c r="B36" s="70" t="s">
        <v>811</v>
      </c>
      <c r="C36" s="71" t="s">
        <v>812</v>
      </c>
      <c r="D36" s="72" t="s">
        <v>813</v>
      </c>
    </row>
    <row r="37" spans="1:4" ht="36" customHeight="1" x14ac:dyDescent="0.35">
      <c r="A37" s="69" t="s">
        <v>468</v>
      </c>
      <c r="B37" s="70" t="s">
        <v>814</v>
      </c>
      <c r="C37" s="71" t="s">
        <v>815</v>
      </c>
      <c r="D37" s="72" t="s">
        <v>816</v>
      </c>
    </row>
    <row r="38" spans="1:4" ht="36" customHeight="1" x14ac:dyDescent="0.35">
      <c r="A38" s="69" t="s">
        <v>817</v>
      </c>
      <c r="B38" s="70" t="s">
        <v>818</v>
      </c>
      <c r="C38" s="71" t="s">
        <v>819</v>
      </c>
      <c r="D38" s="72" t="s">
        <v>820</v>
      </c>
    </row>
    <row r="39" spans="1:4" ht="21.75" customHeight="1" x14ac:dyDescent="0.35">
      <c r="A39" s="124" t="s">
        <v>821</v>
      </c>
      <c r="B39" s="124"/>
      <c r="C39" s="124"/>
      <c r="D39" s="124"/>
    </row>
    <row r="40" spans="1:4" ht="36" customHeight="1" x14ac:dyDescent="0.35">
      <c r="A40" s="69" t="s">
        <v>822</v>
      </c>
      <c r="B40" s="70" t="s">
        <v>823</v>
      </c>
      <c r="C40" s="71" t="s">
        <v>824</v>
      </c>
      <c r="D40" s="72" t="s">
        <v>825</v>
      </c>
    </row>
    <row r="41" spans="1:4" ht="36" customHeight="1" x14ac:dyDescent="0.35">
      <c r="A41" s="69" t="s">
        <v>826</v>
      </c>
      <c r="B41" s="70" t="s">
        <v>827</v>
      </c>
      <c r="C41" s="71" t="s">
        <v>828</v>
      </c>
      <c r="D41" s="72" t="s">
        <v>829</v>
      </c>
    </row>
    <row r="42" spans="1:4" ht="36" customHeight="1" x14ac:dyDescent="0.35">
      <c r="A42" s="69" t="s">
        <v>830</v>
      </c>
      <c r="B42" s="70" t="s">
        <v>831</v>
      </c>
      <c r="C42" s="71" t="s">
        <v>832</v>
      </c>
      <c r="D42" s="72" t="s">
        <v>833</v>
      </c>
    </row>
    <row r="43" spans="1:4" ht="36" customHeight="1" x14ac:dyDescent="0.35">
      <c r="A43" s="69" t="s">
        <v>834</v>
      </c>
      <c r="B43" s="70" t="s">
        <v>835</v>
      </c>
      <c r="C43" s="71" t="s">
        <v>836</v>
      </c>
      <c r="D43" s="72" t="s">
        <v>837</v>
      </c>
    </row>
    <row r="44" spans="1:4" ht="36" customHeight="1" x14ac:dyDescent="0.35">
      <c r="A44" s="69" t="s">
        <v>838</v>
      </c>
      <c r="B44" s="70" t="s">
        <v>839</v>
      </c>
      <c r="C44" s="71" t="s">
        <v>840</v>
      </c>
      <c r="D44" s="72" t="s">
        <v>841</v>
      </c>
    </row>
    <row r="46" spans="1:4" ht="21.75" customHeight="1" x14ac:dyDescent="0.35">
      <c r="A46" s="161" t="s">
        <v>854</v>
      </c>
      <c r="B46" s="125"/>
      <c r="C46" s="125"/>
      <c r="D46" s="125"/>
    </row>
  </sheetData>
  <mergeCells count="9">
    <mergeCell ref="A29:D29"/>
    <mergeCell ref="A34:D34"/>
    <mergeCell ref="A39:D39"/>
    <mergeCell ref="A46:D46"/>
    <mergeCell ref="A1:D1"/>
    <mergeCell ref="A3:D3"/>
    <mergeCell ref="A14:D14"/>
    <mergeCell ref="A19:D19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DASHBOARD</vt:lpstr>
      <vt:lpstr>IS</vt:lpstr>
      <vt:lpstr>BS</vt:lpstr>
      <vt:lpstr>CFS</vt:lpstr>
      <vt:lpstr>RATIOS</vt:lpstr>
      <vt:lpstr>COMMON_SIZE</vt:lpstr>
      <vt:lpstr>PEER_COMP</vt:lpstr>
      <vt:lpstr>ASSUMPTIONS</vt:lpstr>
      <vt:lpstr>FORMULA_REF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Owosuyi Bamidele</cp:lastModifiedBy>
  <cp:revision>2</cp:revision>
  <dcterms:created xsi:type="dcterms:W3CDTF">2026-03-04T05:18:31Z</dcterms:created>
  <dcterms:modified xsi:type="dcterms:W3CDTF">2026-05-12T16:53:55Z</dcterms:modified>
  <dc:language>en-US</dc:language>
</cp:coreProperties>
</file>